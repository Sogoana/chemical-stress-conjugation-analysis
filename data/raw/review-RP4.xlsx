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goana/Desktop/Git/chemical-stress-conjugation-analysis/data/raw/"/>
    </mc:Choice>
  </mc:AlternateContent>
  <xr:revisionPtr revIDLastSave="0" documentId="13_ncr:1_{5897F827-D962-3044-BA6D-5D0F4A6C13A1}" xr6:coauthVersionLast="47" xr6:coauthVersionMax="47" xr10:uidLastSave="{00000000-0000-0000-0000-000000000000}"/>
  <bookViews>
    <workbookView xWindow="760" yWindow="760" windowWidth="22580" windowHeight="17300" xr2:uid="{C429ED11-6AE3-9C4C-BE4A-352B35E1635D}"/>
  </bookViews>
  <sheets>
    <sheet name="metadata_updated_filtered" sheetId="16" r:id="rId1"/>
    <sheet name="conjugation_updated_filtered" sheetId="17" r:id="rId2"/>
  </sheets>
  <definedNames>
    <definedName name="OLE_LINK1" localSheetId="1">conjugation_updated_filtered!#REF!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3" i="17" l="1"/>
  <c r="I1254" i="17"/>
  <c r="I1255" i="17"/>
  <c r="I1256" i="17"/>
  <c r="I1257" i="17"/>
  <c r="I1258" i="17"/>
  <c r="I1252" i="17"/>
  <c r="I1247" i="17"/>
  <c r="I1248" i="17"/>
  <c r="I1249" i="17"/>
  <c r="I1250" i="17"/>
  <c r="I1251" i="17"/>
  <c r="I1246" i="17"/>
  <c r="I1241" i="17"/>
  <c r="I1242" i="17"/>
  <c r="I1243" i="17"/>
  <c r="I1244" i="17"/>
  <c r="I1245" i="17"/>
  <c r="I1240" i="17"/>
  <c r="I1235" i="17"/>
  <c r="I1236" i="17"/>
  <c r="I1237" i="17"/>
  <c r="I1238" i="17"/>
  <c r="I1239" i="17"/>
  <c r="I1234" i="17"/>
  <c r="I1229" i="17"/>
  <c r="I1230" i="17"/>
  <c r="I1231" i="17"/>
  <c r="I1232" i="17"/>
  <c r="I1233" i="17"/>
  <c r="I1228" i="17"/>
  <c r="I1223" i="17"/>
  <c r="I1224" i="17"/>
  <c r="I1225" i="17"/>
  <c r="I1226" i="17"/>
  <c r="I1227" i="17"/>
  <c r="I1222" i="17"/>
  <c r="I1217" i="17"/>
  <c r="I1218" i="17"/>
  <c r="I1219" i="17"/>
  <c r="I1220" i="17"/>
  <c r="I1221" i="17"/>
  <c r="I1216" i="17"/>
  <c r="I1211" i="17"/>
  <c r="I1212" i="17"/>
  <c r="I1213" i="17"/>
  <c r="I1214" i="17"/>
  <c r="I1215" i="17"/>
  <c r="I1210" i="17"/>
  <c r="I1205" i="17"/>
  <c r="I1206" i="17"/>
  <c r="I1207" i="17"/>
  <c r="I1208" i="17"/>
  <c r="I1209" i="17"/>
  <c r="I1204" i="17"/>
  <c r="I1199" i="17"/>
  <c r="I1200" i="17"/>
  <c r="I1201" i="17"/>
  <c r="I1202" i="17"/>
  <c r="I1203" i="17"/>
  <c r="I1198" i="17"/>
  <c r="I1197" i="17"/>
  <c r="I1193" i="17"/>
  <c r="I1194" i="17"/>
  <c r="I1195" i="17"/>
  <c r="I1196" i="17"/>
  <c r="I1192" i="17"/>
  <c r="I1187" i="17"/>
  <c r="I1188" i="17"/>
  <c r="I1189" i="17"/>
  <c r="I1190" i="17"/>
  <c r="I1191" i="17"/>
  <c r="I1186" i="17"/>
  <c r="I1181" i="17"/>
  <c r="I1182" i="17"/>
  <c r="I1183" i="17"/>
  <c r="I1184" i="17"/>
  <c r="I1185" i="17"/>
  <c r="I1180" i="17"/>
  <c r="I1175" i="17"/>
  <c r="I1176" i="17"/>
  <c r="I1177" i="17"/>
  <c r="I1178" i="17"/>
  <c r="I1179" i="17"/>
  <c r="I1174" i="17"/>
  <c r="I1169" i="17"/>
  <c r="I1170" i="17"/>
  <c r="I1171" i="17"/>
  <c r="I1172" i="17"/>
  <c r="I1173" i="17"/>
  <c r="I1168" i="17"/>
  <c r="I1165" i="17"/>
  <c r="I1166" i="17"/>
  <c r="I1167" i="17"/>
  <c r="I1164" i="17"/>
  <c r="I1161" i="17"/>
  <c r="I1162" i="17"/>
  <c r="I1163" i="17"/>
  <c r="I1160" i="17"/>
  <c r="I1454" i="17"/>
  <c r="I1453" i="17"/>
  <c r="I1452" i="17"/>
  <c r="I1451" i="17"/>
  <c r="I1450" i="17"/>
  <c r="I1449" i="17"/>
  <c r="I1159" i="17"/>
  <c r="I1158" i="17"/>
  <c r="I1157" i="17"/>
  <c r="I1156" i="17"/>
  <c r="I1155" i="17"/>
  <c r="I1154" i="17"/>
  <c r="I1153" i="17"/>
  <c r="I1152" i="17"/>
  <c r="I1151" i="17"/>
  <c r="I1132" i="17"/>
  <c r="I1131" i="17"/>
  <c r="I1130" i="17"/>
  <c r="I1129" i="17"/>
  <c r="I1128" i="17"/>
  <c r="I1127" i="17"/>
  <c r="I1126" i="17"/>
  <c r="I1125" i="17"/>
  <c r="I1124" i="17"/>
  <c r="I1099" i="17"/>
  <c r="I1098" i="17"/>
  <c r="I1097" i="17"/>
  <c r="I109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832" i="17"/>
  <c r="I831" i="17"/>
  <c r="I830" i="17"/>
  <c r="I829" i="17"/>
  <c r="I828" i="17"/>
  <c r="I827" i="17"/>
  <c r="I826" i="17"/>
  <c r="I825" i="17"/>
  <c r="I776" i="17"/>
  <c r="I775" i="17"/>
  <c r="I774" i="17"/>
  <c r="I773" i="17"/>
  <c r="I772" i="17"/>
  <c r="I771" i="17"/>
  <c r="I770" i="17"/>
  <c r="I769" i="17"/>
  <c r="I768" i="17"/>
  <c r="I767" i="17"/>
  <c r="I766" i="17"/>
  <c r="I765" i="17"/>
  <c r="I764" i="17"/>
  <c r="I723" i="17"/>
  <c r="I722" i="17"/>
  <c r="I721" i="17"/>
  <c r="I720" i="17"/>
  <c r="I719" i="17"/>
  <c r="I718" i="17"/>
  <c r="I717" i="17"/>
  <c r="I716" i="17"/>
  <c r="I715" i="17"/>
  <c r="I714" i="17"/>
  <c r="I713" i="17"/>
  <c r="I712" i="17"/>
  <c r="I670" i="17"/>
  <c r="I669" i="17"/>
  <c r="I668" i="17"/>
  <c r="I667" i="17"/>
  <c r="I666" i="17"/>
  <c r="I665" i="17"/>
  <c r="I664" i="17"/>
  <c r="I663" i="17"/>
  <c r="I662" i="17"/>
  <c r="I661" i="17"/>
  <c r="I660" i="17"/>
  <c r="I659" i="17"/>
  <c r="I658" i="17"/>
  <c r="I657" i="17"/>
  <c r="I656" i="17"/>
  <c r="I655" i="17"/>
  <c r="I654" i="17"/>
  <c r="I653" i="17"/>
  <c r="I614" i="17"/>
  <c r="I613" i="17"/>
  <c r="I612" i="17"/>
  <c r="L611" i="17"/>
  <c r="I611" i="17"/>
  <c r="I610" i="17"/>
  <c r="I609" i="17"/>
  <c r="I608" i="17"/>
  <c r="I607" i="17"/>
  <c r="I606" i="17"/>
  <c r="I605" i="17"/>
  <c r="I604" i="17"/>
  <c r="I603" i="17"/>
  <c r="I602" i="17"/>
  <c r="I601" i="17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G480" i="17"/>
  <c r="G479" i="17"/>
  <c r="G477" i="17"/>
  <c r="G476" i="17"/>
  <c r="G473" i="17"/>
  <c r="G472" i="17"/>
  <c r="G469" i="17"/>
  <c r="G468" i="17"/>
  <c r="G465" i="17"/>
  <c r="G464" i="17"/>
  <c r="G461" i="17"/>
  <c r="G460" i="17"/>
  <c r="K87" i="16"/>
  <c r="J87" i="16"/>
  <c r="I87" i="16"/>
  <c r="K86" i="16"/>
  <c r="J86" i="16"/>
  <c r="I86" i="16"/>
  <c r="V36" i="16"/>
  <c r="V3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tc={D108FAD6-A7E6-D74E-A05E-FF414F75296C}</author>
    <author>tc={C0E73818-4178-134B-AD3C-368CF98589B3}</author>
    <author>tc={2E46B305-E34B-C342-9953-AC44AFFB6C78}</author>
  </authors>
  <commentList>
    <comment ref="I1" authorId="0" shapeId="0" xr:uid="{D108FAD6-A7E6-D74E-A05E-FF414F7529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Short-term prestige</t>
      </text>
    </comment>
    <comment ref="L1" authorId="1" shapeId="0" xr:uid="{C0E73818-4178-134B-AD3C-368CF98589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Long-term influence</t>
      </text>
    </comment>
    <comment ref="M1" authorId="2" shapeId="0" xr:uid="{2E46B305-E34B-C342-9953-AC44AFFB6C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Quiality-adjusted, field-normalized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tc={BC7075C2-39DA-DA4F-9162-CE7CAAA01F98}</author>
    <author>tc={7FE188BE-E65C-9B4C-80CC-3D17C926D353}</author>
  </authors>
  <commentList>
    <comment ref="H99" authorId="0" shapeId="0" xr:uid="{BC7075C2-39DA-DA4F-9162-CE7CAAA01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PBS</t>
      </text>
    </comment>
    <comment ref="H447" authorId="1" shapeId="0" xr:uid="{7FE188BE-E65C-9B4C-80CC-3D17C926D3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Frecuencia a las 8h</t>
      </text>
    </comment>
  </commentList>
</comments>
</file>

<file path=xl/sharedStrings.xml><?xml version="1.0" encoding="utf-8"?>
<sst xmlns="http://schemas.openxmlformats.org/spreadsheetml/2006/main" count="9786" uniqueCount="525">
  <si>
    <t>D_strain</t>
  </si>
  <si>
    <t>R_species</t>
  </si>
  <si>
    <t>R_strain</t>
  </si>
  <si>
    <t>Transfer-frequency</t>
  </si>
  <si>
    <t>Fold-change_(T/R)</t>
  </si>
  <si>
    <t>Fold-change_(T/D)</t>
  </si>
  <si>
    <t>Effect_conju</t>
  </si>
  <si>
    <t>E. coli</t>
  </si>
  <si>
    <t>HB101</t>
  </si>
  <si>
    <t>MG1655</t>
  </si>
  <si>
    <t>NA</t>
  </si>
  <si>
    <t>None</t>
  </si>
  <si>
    <t>ns</t>
  </si>
  <si>
    <t>Increase</t>
  </si>
  <si>
    <t>**</t>
  </si>
  <si>
    <t>Decrease</t>
  </si>
  <si>
    <t>*</t>
  </si>
  <si>
    <t>Ketoprofen</t>
  </si>
  <si>
    <t>K-12</t>
  </si>
  <si>
    <t>A. veronii</t>
  </si>
  <si>
    <t>DH5α</t>
  </si>
  <si>
    <t>S. enterica</t>
  </si>
  <si>
    <t>Trichloromethane</t>
  </si>
  <si>
    <t>Dichloroacetonitrile</t>
  </si>
  <si>
    <t>Carbamazepine</t>
  </si>
  <si>
    <t>P. putida</t>
  </si>
  <si>
    <t>KT2440</t>
  </si>
  <si>
    <t>activated sludge microbial community</t>
  </si>
  <si>
    <t>***</t>
  </si>
  <si>
    <t>Gemfibrozil</t>
  </si>
  <si>
    <t>Ibuprofen</t>
  </si>
  <si>
    <t>Iopromide</t>
  </si>
  <si>
    <t>Naproxen</t>
  </si>
  <si>
    <t>Propranolol</t>
  </si>
  <si>
    <t>increase</t>
  </si>
  <si>
    <t>EC600</t>
  </si>
  <si>
    <t>ds</t>
  </si>
  <si>
    <t>Chlormequat</t>
  </si>
  <si>
    <t xml:space="preserve">E.coli </t>
  </si>
  <si>
    <t>Ph6</t>
  </si>
  <si>
    <t>HB102</t>
  </si>
  <si>
    <t>Diclofenac</t>
  </si>
  <si>
    <t>Fluoxetine</t>
  </si>
  <si>
    <t>none</t>
  </si>
  <si>
    <t>Triclosan</t>
  </si>
  <si>
    <t>Nitric oxide</t>
  </si>
  <si>
    <t>K12</t>
  </si>
  <si>
    <t>S. typhimurium</t>
  </si>
  <si>
    <t>LE392</t>
  </si>
  <si>
    <t>Duloxetine</t>
  </si>
  <si>
    <t>Sertraline</t>
  </si>
  <si>
    <t>Bupropion</t>
  </si>
  <si>
    <t>Escitalopram</t>
  </si>
  <si>
    <t>Agomelatine</t>
  </si>
  <si>
    <t>Paracetamol</t>
  </si>
  <si>
    <t>Pseudomonas</t>
  </si>
  <si>
    <t>HLS-6</t>
  </si>
  <si>
    <t>Chloroxylenol</t>
  </si>
  <si>
    <t xml:space="preserve">E. coli </t>
  </si>
  <si>
    <t>Isolate from activated sludge of municipal WWTP</t>
  </si>
  <si>
    <t>****</t>
  </si>
  <si>
    <t>Saccharin</t>
  </si>
  <si>
    <t>Sucralose</t>
  </si>
  <si>
    <t>Aspartame</t>
  </si>
  <si>
    <t>Acesulfame potassium</t>
  </si>
  <si>
    <t>P. alloputida</t>
  </si>
  <si>
    <t>J53</t>
  </si>
  <si>
    <t>NK5449</t>
  </si>
  <si>
    <t>E. piscicida</t>
  </si>
  <si>
    <t>JM109</t>
  </si>
  <si>
    <t>Silver</t>
  </si>
  <si>
    <t>1-butyl-3-methylimidazolium tetrafluoroborate</t>
  </si>
  <si>
    <t>1-butyl-3-methylimidazolium hexafluorophosphate</t>
  </si>
  <si>
    <t>Significance_Fold(T/R)</t>
  </si>
  <si>
    <t>Author</t>
  </si>
  <si>
    <t>Year</t>
  </si>
  <si>
    <t>Abb (REF)</t>
  </si>
  <si>
    <t>Title</t>
  </si>
  <si>
    <t>Journal</t>
  </si>
  <si>
    <t>Type</t>
  </si>
  <si>
    <t>Print ISSN</t>
  </si>
  <si>
    <t>IF</t>
  </si>
  <si>
    <t>H-index LATEST</t>
  </si>
  <si>
    <t>SJR</t>
  </si>
  <si>
    <t>Quartile</t>
  </si>
  <si>
    <t>Yang</t>
  </si>
  <si>
    <t>Yang et al., 2024</t>
  </si>
  <si>
    <t>Exposure to bisphenol compounds accelerates the conjugative transfer of antibiotic resistance plasmid.</t>
  </si>
  <si>
    <t>Environmental Research</t>
  </si>
  <si>
    <t>Research Article</t>
  </si>
  <si>
    <t>0013-9351</t>
  </si>
  <si>
    <t>Q1</t>
  </si>
  <si>
    <t>ENVIRON RES</t>
  </si>
  <si>
    <t xml:space="preserve">Zhao </t>
  </si>
  <si>
    <t>Zhao et al., 2024</t>
  </si>
  <si>
    <t>Effects and mechanisms of chlormequat on horizontal transfer of antibiotic resistance genes through plasmid-mediated conjugation in agro-ecosystems.</t>
  </si>
  <si>
    <t>Journal of Hazardous Materials</t>
  </si>
  <si>
    <t>0304-3894</t>
  </si>
  <si>
    <t>J HAZARD MATER</t>
  </si>
  <si>
    <t>Zhang</t>
  </si>
  <si>
    <t>Zhang et al., 2024</t>
  </si>
  <si>
    <t>Ketoprofen promotes the conjugative transfer of antibiotic resistance among antibiotic resistant bacteria in natural aqueous environments.</t>
  </si>
  <si>
    <t>Environmental Pollution</t>
  </si>
  <si>
    <t>0269-7491</t>
  </si>
  <si>
    <t>ENVIRON POLLUT</t>
  </si>
  <si>
    <t>Xiong</t>
  </si>
  <si>
    <t>Xiong et al., 2024</t>
  </si>
  <si>
    <t>Different paths, same destination: Bisphenol A and its substitute induce the conjugative transfer of antibiotic resistance genes.</t>
  </si>
  <si>
    <t>Chemosphere</t>
  </si>
  <si>
    <t>0045-6535</t>
  </si>
  <si>
    <t>CHEMOSPHERE</t>
  </si>
  <si>
    <t>Gao</t>
  </si>
  <si>
    <t>Gao et al., 2024</t>
  </si>
  <si>
    <t>Tebuconazole</t>
  </si>
  <si>
    <t>Tebuconazole exacerbates co-occurrence and horizontal transfer of antibiotic resistance genes.</t>
  </si>
  <si>
    <t>Pesticide Biochemistry and Physiology</t>
  </si>
  <si>
    <t>0048-3575</t>
  </si>
  <si>
    <t>PESTIC BIOCHEM PHYS</t>
  </si>
  <si>
    <t>Xu</t>
  </si>
  <si>
    <t>Xu et al., 2024</t>
  </si>
  <si>
    <t>Molybdenum disulfide nanosheets promote the plasmid-mediated conjugative transfer of antibiotic resistance genes.</t>
  </si>
  <si>
    <t>0301-4797</t>
  </si>
  <si>
    <t>J ENVIRON MANAGE</t>
  </si>
  <si>
    <t>Yin</t>
  </si>
  <si>
    <t>Yin et al., 2023</t>
  </si>
  <si>
    <t>Unrecognized risk of perfluorooctane sulfonate in promoting conjugative transfers of bacterial antibiotic resistance genes.</t>
  </si>
  <si>
    <t>0099-2240</t>
  </si>
  <si>
    <t>APPL ENVIRON MICROB</t>
  </si>
  <si>
    <t>Liu</t>
  </si>
  <si>
    <t>Liu et al., 2023*b</t>
  </si>
  <si>
    <t>Low concentration quaternary ammonium compounds promoted antibiotic resistance gene transfer via plasmid conjugation.</t>
  </si>
  <si>
    <t>Science of The Total Environment</t>
  </si>
  <si>
    <t>0048-9697</t>
  </si>
  <si>
    <t>SCI TOTAL ENVIRON</t>
  </si>
  <si>
    <t>Liu et al., 2023*a</t>
  </si>
  <si>
    <t>Per/polyfluoroalkyl substances modulate plasmid transfer of antibiotic resistance genes: A balance between oxidative stress and energy support.</t>
  </si>
  <si>
    <t>Water Research</t>
  </si>
  <si>
    <t>0043-1354</t>
  </si>
  <si>
    <t>WATER RES</t>
  </si>
  <si>
    <t>0013-936X</t>
  </si>
  <si>
    <t>ENVIRON SCI TECHNOL</t>
  </si>
  <si>
    <t>Cui</t>
  </si>
  <si>
    <t>Cui et al., 2022</t>
  </si>
  <si>
    <t>Unraveling the impact and mechanism of antipyretic paracetamol on intergenera conjugative plasmid transfer.</t>
  </si>
  <si>
    <t>Ding</t>
  </si>
  <si>
    <t>Ding et al., 2022</t>
  </si>
  <si>
    <t xml:space="preserve">Antidepressants promote the spread of antibiotic resistance via horizontally conjugative gene transfer. </t>
  </si>
  <si>
    <t>Environmental Microbiology</t>
  </si>
  <si>
    <t>1462-2912</t>
  </si>
  <si>
    <t>ENVIRON MICROBIOL</t>
  </si>
  <si>
    <t>Lu</t>
  </si>
  <si>
    <t>Lu et al., 2022</t>
  </si>
  <si>
    <t>Environmentally relevant concentrations of triclosan exposure promote the horizontal transfer of antibiotic resistance genes mediated by Edwardsiella piscicida.</t>
  </si>
  <si>
    <t>0944-1344</t>
  </si>
  <si>
    <t>ENVIRON SCI POLLUT R</t>
  </si>
  <si>
    <t>Wang</t>
  </si>
  <si>
    <t>Wang et al., 2022</t>
  </si>
  <si>
    <t>Non-antibiotic pharmaceuticals promote conjugative plasmid transfer at a community-wide level.</t>
  </si>
  <si>
    <t>Microbiome</t>
  </si>
  <si>
    <t>2049-2618</t>
  </si>
  <si>
    <t>MICROBIOME</t>
  </si>
  <si>
    <t>Feng</t>
  </si>
  <si>
    <t>Feng et al., 2022</t>
  </si>
  <si>
    <t>Bisphenols promote the conjugative transfer of antibiotic resistance genes without damaging cell membrane.</t>
  </si>
  <si>
    <t>Environ Chem Lett</t>
  </si>
  <si>
    <t>1610-3653</t>
  </si>
  <si>
    <t>ENVIRON CHEM LETT</t>
  </si>
  <si>
    <t>Huang</t>
  </si>
  <si>
    <t>Huang et al., 2022</t>
  </si>
  <si>
    <t>Nitric Oxide: A Neglected Driver for the Conjugative Transfer of Antibiotic Resistance Genes among Wastewater Microbiota.</t>
  </si>
  <si>
    <t>Environmental Science &amp; Technology</t>
  </si>
  <si>
    <t>Li</t>
  </si>
  <si>
    <t>Li et al., 2022</t>
  </si>
  <si>
    <t>Journal of Environmental Sciences</t>
  </si>
  <si>
    <t>Guo</t>
  </si>
  <si>
    <t>Guo et al., 2022</t>
  </si>
  <si>
    <t>Chloroxylenol at environmental concentrations can promote conjugative transfer of antibiotic resistance genes by multiple mechanisms.</t>
  </si>
  <si>
    <t>He</t>
  </si>
  <si>
    <t>He et al., 2022</t>
  </si>
  <si>
    <t>Low-concentration of trichloromethane and dichloroacetonitrile promote the plasmid-mediated horizontal transfer of antibiotic resistance genes.</t>
  </si>
  <si>
    <t>Ma</t>
  </si>
  <si>
    <t>Ma et al., 2021</t>
  </si>
  <si>
    <t>Phenolic compounds promote the horizontal transfer of antibiotic resistance genes in activated sludge.</t>
  </si>
  <si>
    <t>Jia</t>
  </si>
  <si>
    <t>Jia et al., 2021</t>
  </si>
  <si>
    <t>Acetaminophen promotes horizontal transfer of plasmid-borne multiple antibiotic resistance genes.</t>
  </si>
  <si>
    <t>Yu</t>
  </si>
  <si>
    <t>Yu et al., 2021</t>
  </si>
  <si>
    <t>Nonnutritive sweeteners can promote the dissemination of antibiotic resistance through conjugative gene transfer.</t>
  </si>
  <si>
    <t>ISME J</t>
  </si>
  <si>
    <t>1751-7362</t>
  </si>
  <si>
    <t>Liao</t>
  </si>
  <si>
    <t>CeO2 Nanoparticles Regulate the Propagation of Antibiotic Resistance Genes by Altering Cellular Contact and Plasmid Transfer</t>
  </si>
  <si>
    <t>Lu et al., 2020</t>
  </si>
  <si>
    <t>Both silver ions and silver nanoparticles facilitate the horizontal transfer of plasmid-mediated antibiotic resistance genes.</t>
  </si>
  <si>
    <t>Han</t>
  </si>
  <si>
    <t>Han et al., 2019</t>
  </si>
  <si>
    <t>The impact and mechanism of quaternary ammonium compounds on the transmission of antibiotic resistance genes.</t>
  </si>
  <si>
    <t>Environmental Science and Pollution Research</t>
  </si>
  <si>
    <t>Q2</t>
  </si>
  <si>
    <t>Zhang et al., 2019</t>
  </si>
  <si>
    <t>Copper nanoparticles and copper ions promote horizontal transfer of plasmid-mediated multi-antibiotic resistance genes across bacterial genera.</t>
  </si>
  <si>
    <t>Environment International</t>
  </si>
  <si>
    <t>0160-4120</t>
  </si>
  <si>
    <t>ENVIRON INT</t>
  </si>
  <si>
    <t>Wang et al., 2019</t>
  </si>
  <si>
    <t>Antiepileptic drug carbamazepine promotes horizontal transfer of plasmid-borne multi-antibiotic resistance genes within and across bacterial genera.</t>
  </si>
  <si>
    <t>Wang et al., 2015</t>
  </si>
  <si>
    <t>Ionic Liquid Facilitates the Conjugative Transfer of Antibiotic Resistance Genes Mediated by Plasmid RP4.</t>
  </si>
  <si>
    <t>Mating_temeperature</t>
  </si>
  <si>
    <t>Mating_ratio_D:R</t>
  </si>
  <si>
    <t>Mating_Type</t>
  </si>
  <si>
    <t>Mating_medium</t>
  </si>
  <si>
    <t>Density_OD600</t>
  </si>
  <si>
    <t>Density_CFU/mL</t>
  </si>
  <si>
    <t>Exposure</t>
  </si>
  <si>
    <t>Conjugation frequency</t>
  </si>
  <si>
    <t>_1:1_</t>
  </si>
  <si>
    <t>Liquid</t>
  </si>
  <si>
    <t>PBS</t>
  </si>
  <si>
    <t>Exposure during conjugation</t>
  </si>
  <si>
    <t>T/R</t>
  </si>
  <si>
    <t>LB</t>
  </si>
  <si>
    <t>_1:10_</t>
  </si>
  <si>
    <t>MG1658</t>
  </si>
  <si>
    <t>MG1657</t>
  </si>
  <si>
    <t>MG1656</t>
  </si>
  <si>
    <t>Li et al., 2025</t>
  </si>
  <si>
    <t>Antihistamine drug loratadine at environmentally relevant concentrations promotes conjugative transfer of antibiotic resistance genes: Coeffect of oxidative stress and ion transport</t>
  </si>
  <si>
    <t>Loratadine</t>
  </si>
  <si>
    <t xml:space="preserve">Exposure before conjugation </t>
  </si>
  <si>
    <t>f</t>
  </si>
  <si>
    <t>Cheng</t>
  </si>
  <si>
    <t>Cheng et al., 2025</t>
  </si>
  <si>
    <t>Fe-doped TiO2 nanosheet exposure accelerates the spread of antibiotic resistance genes by promoting plasmid-mediated conjugative transfer.</t>
  </si>
  <si>
    <t>Journal of Environmental Management</t>
  </si>
  <si>
    <t>Molybdenum nanoparticles</t>
  </si>
  <si>
    <t>S</t>
  </si>
  <si>
    <t>Perfluorooctanoic acid</t>
  </si>
  <si>
    <t>Perfluorododecanoic acid</t>
  </si>
  <si>
    <t>2-methyl-3-oxahexanoate</t>
  </si>
  <si>
    <t>Bisphenol S</t>
  </si>
  <si>
    <t>Bisphenol AF</t>
  </si>
  <si>
    <t>Dodecyl dimethyl benzyl ammonium chloride</t>
  </si>
  <si>
    <t>Didecyl dimethyl ammonium chloride</t>
  </si>
  <si>
    <t>Bisphenol B</t>
  </si>
  <si>
    <t>Bisphenol F</t>
  </si>
  <si>
    <t>Bisphenol Z</t>
  </si>
  <si>
    <t>Bisphenol A</t>
  </si>
  <si>
    <t>Bisphenol AP</t>
  </si>
  <si>
    <t>p-Aminophenol</t>
  </si>
  <si>
    <t>p-Nitrophenol</t>
  </si>
  <si>
    <t>Phenol</t>
  </si>
  <si>
    <t>Didodecyl dimethyl ammonium chloride</t>
  </si>
  <si>
    <t>Dodecyl trimethyl ammonium chloride</t>
  </si>
  <si>
    <t>Hexadecyl dimethyl benzyl ammonium chloride</t>
  </si>
  <si>
    <t>Perfluorooctanesulfonic acid</t>
  </si>
  <si>
    <t>n-butyl-N-methylpyrrolidinium bromide</t>
  </si>
  <si>
    <t>Tetraethylammonium bromide</t>
  </si>
  <si>
    <t>Cerium(IV) oxide</t>
  </si>
  <si>
    <t>D_species</t>
  </si>
  <si>
    <t>PAPER_ID</t>
  </si>
  <si>
    <t>Inorganic salt Na[PF6]</t>
  </si>
  <si>
    <t>Concentration_(mg/L)</t>
  </si>
  <si>
    <t>Solid</t>
  </si>
  <si>
    <t>Mating_time</t>
  </si>
  <si>
    <t>Jiao et al., 2017</t>
  </si>
  <si>
    <t>Lu et al., 2018</t>
  </si>
  <si>
    <t>Huang et al., 2019</t>
  </si>
  <si>
    <t>Zhao et al., 2023</t>
  </si>
  <si>
    <t>Cao et al., 2024</t>
  </si>
  <si>
    <t>Xu et al ., 2025a</t>
  </si>
  <si>
    <t>Xu et al., 2025b</t>
  </si>
  <si>
    <t>Jiao</t>
  </si>
  <si>
    <t>Zhao</t>
  </si>
  <si>
    <t>Cao</t>
  </si>
  <si>
    <t>Organic compounds stimulate horizontal transfer of antibiotic resistance genes in mixed wastewater treatment systems</t>
  </si>
  <si>
    <t>Malachite Green</t>
  </si>
  <si>
    <t>Trioxymethylene</t>
  </si>
  <si>
    <t>Ethylbenzene</t>
  </si>
  <si>
    <t>O-xylene</t>
  </si>
  <si>
    <t>Styrene</t>
  </si>
  <si>
    <t>Triclosan at environmentally relevant concentrations promotes horizontal transfer of multidrug resistance genes within and across bacterial genera</t>
  </si>
  <si>
    <t>Environmental International</t>
  </si>
  <si>
    <t>Low-level free nitrous acid efficiently inhibits the conjugative transfer of antibiotic resistance by altering intracellular ions and disabling transfer apparatus</t>
  </si>
  <si>
    <t>0.5</t>
  </si>
  <si>
    <t>Prochloraz alone or in combination with nano-CuO promotes the conjugative transfer of antibiotic resistance genes between Escherichia coli in pure water</t>
  </si>
  <si>
    <t>Effects and mechanisms of plant growth regulators on horizontal transfer of antibiotic resistance genes through plasmid-mediated conjugation</t>
  </si>
  <si>
    <t>Cylindrospermopsin</t>
  </si>
  <si>
    <t>Cylindrospermopsin enhances the conjugative transfer of plasmid-mediated multi-antibiotic resistance genes through glutathione biosynthesis inhibition</t>
  </si>
  <si>
    <t>Chlorite and bromate alter the conjugative transfer of antibiotic resistance genes: Co-regulation of oxidative stress and energy supply</t>
  </si>
  <si>
    <t>Chlorite</t>
  </si>
  <si>
    <t>Bromate</t>
  </si>
  <si>
    <t>Lithium enhanced plasmid-mediated conjugative transfer of antimicrobial resistance genes in Escherichia coli: Different concentrations and mechanisms</t>
  </si>
  <si>
    <t>Aquatic Toxicology</t>
  </si>
  <si>
    <t>Role of organophosphorus pesticides in facilitating plasmid-mediated conjugative transfer: Efficiency and mechanisms</t>
  </si>
  <si>
    <t>Malathion</t>
  </si>
  <si>
    <t>The overlooked risk of horizontal transfer of plasmid-borne antibiotic resistance genes induced by synthetic phenolic antioxidants</t>
  </si>
  <si>
    <t>Propyl gallate</t>
  </si>
  <si>
    <t>Lipid-lowering drug clofibric acid promotes conjugative transfer of RP4 plasmid carrying antibiotic resistance genes by multiple mechanisms</t>
  </si>
  <si>
    <t>Clofibric acid</t>
  </si>
  <si>
    <t>Prochloraz</t>
  </si>
  <si>
    <t>Lithium chloride</t>
  </si>
  <si>
    <t>Indoleacetic acid</t>
  </si>
  <si>
    <t>Ethel</t>
  </si>
  <si>
    <t>Gibberellin</t>
  </si>
  <si>
    <t>2,4-dichloroaniline</t>
  </si>
  <si>
    <t>Nano-Copper oxide</t>
  </si>
  <si>
    <t>Dimethoate</t>
  </si>
  <si>
    <t>2,6-di-tert-butyl-4-methylphenol</t>
  </si>
  <si>
    <t>3-tert-butyl-4-hydroxyanisole</t>
  </si>
  <si>
    <t>Copper ion</t>
  </si>
  <si>
    <t>Tert-butylhydroquinone</t>
  </si>
  <si>
    <t>N-ethylpyridinium hexafluorophosphate</t>
  </si>
  <si>
    <t>Bacterial exposure to ZnO nanoparticles facilitates horizontal transfer of antibiotic resistance genes</t>
  </si>
  <si>
    <t>Wang et al., 2018</t>
  </si>
  <si>
    <t>Pu</t>
  </si>
  <si>
    <t>Pu et al., 2021</t>
  </si>
  <si>
    <t>CO2 promotes the conjugative transfer of multiresistance genes by facilitating cellular contact and plasmid transfer</t>
  </si>
  <si>
    <t>Liao et al., 2019</t>
  </si>
  <si>
    <t>Effect of sulfamethazine on the horizontal transfer of plasmid-mediated antibiotic resistance genes and its mechanism of action</t>
  </si>
  <si>
    <t>Yan</t>
  </si>
  <si>
    <t>Yan et al., 2023</t>
  </si>
  <si>
    <t>Enhanced plasmid-mediated conjugative transfer of resistance genes across bacterial species promoted by graphene oxide</t>
  </si>
  <si>
    <t>Environmental concentrations of per/polyfluoroalkyl substances promote the conjugative transfer of antibiotic resistance genes</t>
  </si>
  <si>
    <t>Environmentally relevant concentrations of mercury facilitate the horizontal transfer of plasmid-mediated antibiotic resistance genes</t>
  </si>
  <si>
    <t>Fungicide exposure accelerated horizontal transfer of antibiotic resistance genes via plasmid-mediated conjugation</t>
  </si>
  <si>
    <t>Zhang et al., 2023</t>
  </si>
  <si>
    <t>Ibuprofen prevents the conjugative transfer of plasmid-mediated antimicrobial resistance genes</t>
  </si>
  <si>
    <t>Zhang et al., 2025</t>
  </si>
  <si>
    <t>Melatonin prevents conjugative transfer of plasmid-mediated antibiotic resistance genes by disrupting proton motive force</t>
  </si>
  <si>
    <t>Yang et al. 2022</t>
  </si>
  <si>
    <t>Significant generational effects of tetracyclines upon the promoting plasmid-mediated conjugative transfer between typical wastewater bacteria and its mechanisms</t>
  </si>
  <si>
    <t>Rong</t>
  </si>
  <si>
    <t>Rong et al., 2025</t>
  </si>
  <si>
    <t>The horizontal transfer of antibiotic resistance genes is enhanced by ionic liquid with different structure of varying alkyl chain length</t>
  </si>
  <si>
    <t>Cadmium enhances conjugative plasmid transfer to a fresh water microbial community</t>
  </si>
  <si>
    <t>Hu</t>
  </si>
  <si>
    <t>Hu et al., 2024</t>
  </si>
  <si>
    <t>Liang</t>
  </si>
  <si>
    <t>Liang et al., 2024</t>
  </si>
  <si>
    <t>Wang et al., 2021</t>
  </si>
  <si>
    <t>Paclitaxel and its derivative facilitate the transmission of plasmid-mediated antibiotic resistance genes through conjugative transfer</t>
  </si>
  <si>
    <t>Yang et al., 2023</t>
  </si>
  <si>
    <t>Acetylshikonin reduces the spread of antibiotic resistance via plasmid conjugation</t>
  </si>
  <si>
    <t>Effects of plasticizer on removal of antibiotics and antibiotic resistance genes from agricultural soils via soil microbial fuel cells</t>
  </si>
  <si>
    <t>Wang et al., 2024</t>
  </si>
  <si>
    <t>Sulfonamide metabolites enhance resistance transmission via conjugative transfer pathways</t>
  </si>
  <si>
    <t>10^8</t>
  </si>
  <si>
    <t>aquatic microbiota</t>
  </si>
  <si>
    <t>R. coli</t>
  </si>
  <si>
    <t>NK449</t>
  </si>
  <si>
    <t>Graphene oxide</t>
  </si>
  <si>
    <t>DH5a</t>
  </si>
  <si>
    <t>WB600</t>
  </si>
  <si>
    <t>WB100N</t>
  </si>
  <si>
    <t>Table S1-3</t>
  </si>
  <si>
    <t>10^7</t>
  </si>
  <si>
    <t>K. pneumoniae</t>
  </si>
  <si>
    <t>YZ6</t>
  </si>
  <si>
    <t>4-NSMX</t>
  </si>
  <si>
    <t>N4-AcSMX</t>
  </si>
  <si>
    <t>N4-AcSDZ</t>
  </si>
  <si>
    <t>ZR</t>
  </si>
  <si>
    <t>Tetracycline</t>
  </si>
  <si>
    <t>Oxytetracycline</t>
  </si>
  <si>
    <t>Chlortetracycline</t>
  </si>
  <si>
    <t>Doxycycline</t>
  </si>
  <si>
    <t>details in the supplementary material</t>
  </si>
  <si>
    <t>Chitosan</t>
  </si>
  <si>
    <t xml:space="preserve">P. alloputida </t>
  </si>
  <si>
    <t>microbial water community</t>
  </si>
  <si>
    <t>S. sonnei</t>
  </si>
  <si>
    <t>SE6-1</t>
  </si>
  <si>
    <t>Nonylphenol</t>
  </si>
  <si>
    <t>6:2 Cl-PDAEs</t>
  </si>
  <si>
    <t>8:2 Cl-PFAEs</t>
  </si>
  <si>
    <t>S. tyhimurium</t>
  </si>
  <si>
    <t>B. subtilis</t>
  </si>
  <si>
    <t>Salmonella</t>
  </si>
  <si>
    <t>reported real values conju transfer</t>
  </si>
  <si>
    <t>Mercuric chloride</t>
  </si>
  <si>
    <t>Triadimefon</t>
  </si>
  <si>
    <t>Chloronitrile</t>
  </si>
  <si>
    <t>Azoxystrobin</t>
  </si>
  <si>
    <t>Carbendazim</t>
  </si>
  <si>
    <t>Benzethonium chloride</t>
  </si>
  <si>
    <t>Paclitaxel</t>
  </si>
  <si>
    <t>di-2-ethylhexyl phthalate</t>
  </si>
  <si>
    <t>Cadmium chloride</t>
  </si>
  <si>
    <t>Dioctadecyl dimethyl ammonium chloride</t>
  </si>
  <si>
    <t>Dihexadecyl dimethyl ammonium chloride</t>
  </si>
  <si>
    <t>1-methyl-3-octylimidazolium tetrafluoroborate</t>
  </si>
  <si>
    <t>1-hexyl-3-methylimidazolium tetrafluoroborate</t>
  </si>
  <si>
    <t>Tigecycline</t>
  </si>
  <si>
    <t>Omadacycline</t>
  </si>
  <si>
    <t>Demeclocycline</t>
  </si>
  <si>
    <t>Minocycline</t>
  </si>
  <si>
    <t>Sulfamethazine</t>
  </si>
  <si>
    <t>Carbon dioxide</t>
  </si>
  <si>
    <t>Benzyl dimethyl tetradecyl ammonium chloride</t>
  </si>
  <si>
    <t>Melatonin</t>
  </si>
  <si>
    <t>Nano-Zinc oxide</t>
  </si>
  <si>
    <t>ENVIRON. INT.</t>
  </si>
  <si>
    <t>IF_non-selfcit</t>
  </si>
  <si>
    <t>5 year IF</t>
  </si>
  <si>
    <t>NanoImpact</t>
  </si>
  <si>
    <t>Journal of Global Antimicrobial Resistance</t>
  </si>
  <si>
    <t>Pharmacological Research</t>
  </si>
  <si>
    <t>Frontiers in Microbiology</t>
  </si>
  <si>
    <t>Water Research X</t>
  </si>
  <si>
    <t>Pedosphere</t>
  </si>
  <si>
    <t>2452-0748</t>
  </si>
  <si>
    <t>N/A</t>
  </si>
  <si>
    <t>1001-0742</t>
  </si>
  <si>
    <t>JCR Journal abb</t>
  </si>
  <si>
    <t>J ENVIRON SCI</t>
  </si>
  <si>
    <t>ISME Journal</t>
  </si>
  <si>
    <t>0147-6513</t>
  </si>
  <si>
    <t>ECOTOX ENVIR SAFE</t>
  </si>
  <si>
    <t>Ecotoxicology and environmental safety</t>
  </si>
  <si>
    <t>AQUAT TOXICOL</t>
  </si>
  <si>
    <t>0166-445X</t>
  </si>
  <si>
    <t>Environmental Science-Nano</t>
  </si>
  <si>
    <t>2051-8153</t>
  </si>
  <si>
    <t>ENVIRON SCI-NANO</t>
  </si>
  <si>
    <t>2213-7165</t>
  </si>
  <si>
    <t>J GLOB ANTIMICROB RE</t>
  </si>
  <si>
    <t>PHARMACOL RES</t>
  </si>
  <si>
    <t>1043-6618</t>
  </si>
  <si>
    <t>FRONT MICROBIOL</t>
  </si>
  <si>
    <t>WATER RES X</t>
  </si>
  <si>
    <t>PEDOSPHERE</t>
  </si>
  <si>
    <t>1002-0160</t>
  </si>
  <si>
    <t xml:space="preserve">Journal of Environmental Management. </t>
  </si>
  <si>
    <t>Applied and Environmental microbiology</t>
  </si>
  <si>
    <t>MIN</t>
  </si>
  <si>
    <t>MAX</t>
  </si>
  <si>
    <t>MG1655S</t>
  </si>
  <si>
    <t>Targeting Plasmid Conjugation with Cinnamic Acid: A Novel Approach to Combat Antibiotic resistance</t>
  </si>
  <si>
    <t>Cinnamic acid</t>
  </si>
  <si>
    <t>Enhancement of antibiotic resistance dissemination by artificial sweetener acesulfame potassium: Insights from cell membrane, enzyme,        energy supply and transcriptomics</t>
  </si>
  <si>
    <t>A Commonly Used Tire Rubber Antioxidant and its Quinone Derivative Facilitate the Conjugative Transfer of Plasmid-Mediated Antibiotic Resistance Genes in Escherichia coli</t>
  </si>
  <si>
    <t>5x10^8</t>
  </si>
  <si>
    <t>Acetylshikonin</t>
  </si>
  <si>
    <t>_1:100_</t>
  </si>
  <si>
    <t>Mechanisms for disinfection-driven conjugative spread of antibiotic resistance in drinking water biofilms</t>
  </si>
  <si>
    <t>Chlorpyrifos And Chlorpyrifos-methyl Can Promote Conjugative Transfer of Antibiotic Resistance Genes</t>
  </si>
  <si>
    <t>Wu</t>
  </si>
  <si>
    <t>Chlorpyrifos</t>
  </si>
  <si>
    <t>Sucrose</t>
  </si>
  <si>
    <t>Baicalin inhibits conjugative transfer of multidrug-resistant plasmid RP4 by regulating autoinducer-2 transporter protein LsrB</t>
  </si>
  <si>
    <t>Baicalin</t>
  </si>
  <si>
    <t>2x10^8</t>
  </si>
  <si>
    <t>simulated natural light</t>
  </si>
  <si>
    <t>Molybdenum disulfide regulates antibiotic resistance gene conjugative transfer under different light conditions: Oxidative stress and antioxidant response</t>
  </si>
  <si>
    <t>Zhai</t>
  </si>
  <si>
    <t>Presence of bromide and iodide promotes the horizontal transfer of antibiotic resistance genes during chlorination: A preliminary study</t>
  </si>
  <si>
    <t>Exposure before conjugation</t>
  </si>
  <si>
    <t>Oxolinic acid</t>
  </si>
  <si>
    <t>Effect of non-antibiotic factors on conjugative transfer of antibiotic resistance genes in aquaculture water</t>
  </si>
  <si>
    <t>C. portucalensis</t>
  </si>
  <si>
    <t>SG1</t>
  </si>
  <si>
    <t>10^5</t>
  </si>
  <si>
    <t>Aquaculture water</t>
  </si>
  <si>
    <t>Iodine</t>
  </si>
  <si>
    <t>Sodium nitrate</t>
  </si>
  <si>
    <t>Hydrogen peroxide</t>
  </si>
  <si>
    <t>V. harveyi</t>
  </si>
  <si>
    <t>155a</t>
  </si>
  <si>
    <t>155b</t>
  </si>
  <si>
    <t>Comprehensive analysis of disinfectants on the horizontal transfer of antibiotic resistance genes</t>
  </si>
  <si>
    <t>Zhu</t>
  </si>
  <si>
    <t>Domiphen</t>
  </si>
  <si>
    <t>3-Chlorophenol</t>
  </si>
  <si>
    <t>2,3-Dichlorophenol</t>
  </si>
  <si>
    <t>Hexachlorophene</t>
  </si>
  <si>
    <t>Ethanol</t>
  </si>
  <si>
    <t>Isopropyl alcohol</t>
  </si>
  <si>
    <t>Chloramine T</t>
  </si>
  <si>
    <t>p-Chlorophenol</t>
  </si>
  <si>
    <t>Cyromazine</t>
  </si>
  <si>
    <t>Kresoxim-methyl</t>
  </si>
  <si>
    <t>Acetamiprid</t>
  </si>
  <si>
    <t>Dinotefuran</t>
  </si>
  <si>
    <t>Nitenpyram</t>
  </si>
  <si>
    <t>Thiamethoxam</t>
  </si>
  <si>
    <t>Perfluorobutanoic acid</t>
  </si>
  <si>
    <t>Perfluorohexanoic acid</t>
  </si>
  <si>
    <t>Perfluorononanoic acid</t>
  </si>
  <si>
    <t>Cellular mechanism of perfluoroalkyl substances with different chain lengths influence conjugative transfer of antibiotic resistance genes</t>
  </si>
  <si>
    <t>Chlorine</t>
  </si>
  <si>
    <t>Bromide ion</t>
  </si>
  <si>
    <t>Iodide ion</t>
  </si>
  <si>
    <t>Investigation of the impact of widely used pesticides on conjugative transfer of multidrug resistance plasmids</t>
  </si>
  <si>
    <t>Chlorhexidine acetate</t>
  </si>
  <si>
    <t>Chlorhexidine hydrochloride</t>
  </si>
  <si>
    <t>Sodium hypochlorite</t>
  </si>
  <si>
    <t>Chlorine dioxide</t>
  </si>
  <si>
    <t>Benzalkonium chloride</t>
  </si>
  <si>
    <t>Sodium dichloroisocyanurate</t>
  </si>
  <si>
    <t>Sodium periodate</t>
  </si>
  <si>
    <t xml:space="preserve">Copper;sulfate;pentahydrate  </t>
  </si>
  <si>
    <t>Ammonium persulfate</t>
  </si>
  <si>
    <t>Potassium persulfate</t>
  </si>
  <si>
    <t>Peracetic acid</t>
  </si>
  <si>
    <t>Benzalkonium bromide</t>
  </si>
  <si>
    <t>Molybdenum disulfide nanosheets</t>
  </si>
  <si>
    <t xml:space="preserve">Trichloroisocyanurate </t>
  </si>
  <si>
    <t>Cetyltrimethyl ammonium bromide</t>
  </si>
  <si>
    <t>Polyhexamethylene guanidine hydrochloride</t>
  </si>
  <si>
    <t>Polyhexamethylene biguanide hydrochloride</t>
  </si>
  <si>
    <t>Dipotassium;iron(6+);tetrakis(oxygen(2-))  </t>
  </si>
  <si>
    <t>Chlorpyrifos methyl</t>
  </si>
  <si>
    <t>Graphene oxide in the water environment could affect tetracycline-antibiotic resistance</t>
  </si>
  <si>
    <t>Quaternary ammonium biocides promote conjugative transfer of antibiotic resistance gene in structure- and species-dependent manner</t>
  </si>
  <si>
    <t>A maverick: environmentally relevant concentrations of nonylphenol attenuate the plasmid-mediated conjugative transfer of antibiotic resistance genes</t>
  </si>
  <si>
    <t>Non-antibiotic pharmaceuticals promote the transmission of multidrug resistance plasmids through intra- and intergenera conjugation</t>
  </si>
  <si>
    <t>Sludge bioreactor medium</t>
  </si>
  <si>
    <t>1,3-Dibromo-5,5-dimethylimidazolidine-2,4-dione</t>
  </si>
  <si>
    <r>
      <t>N</t>
    </r>
    <r>
      <rPr>
        <sz val="12"/>
        <color theme="1"/>
        <rFont val="Calibri Light"/>
        <family val="2"/>
        <scheme val="major"/>
      </rPr>
      <t>-(1,3-dimethylbutyl)-</t>
    </r>
    <r>
      <rPr>
        <i/>
        <sz val="12"/>
        <color theme="1"/>
        <rFont val="Calibri Light"/>
        <family val="2"/>
        <scheme val="major"/>
      </rPr>
      <t>N</t>
    </r>
    <r>
      <rPr>
        <sz val="12"/>
        <color theme="1"/>
        <rFont val="Calibri Light"/>
        <family val="2"/>
        <scheme val="major"/>
      </rPr>
      <t>′-phenyl-</t>
    </r>
    <r>
      <rPr>
        <i/>
        <sz val="12"/>
        <color theme="1"/>
        <rFont val="Calibri Light"/>
        <family val="2"/>
        <scheme val="major"/>
      </rPr>
      <t>p</t>
    </r>
    <r>
      <rPr>
        <sz val="12"/>
        <color theme="1"/>
        <rFont val="Calibri Light"/>
        <family val="2"/>
        <scheme val="major"/>
      </rPr>
      <t>-phenylenediamine</t>
    </r>
  </si>
  <si>
    <t>Triadimefon Promoted Plasmid-mediated Conjugative Transfer of Multiple Antibiotic Resistance Genes within Bacterial Genus</t>
  </si>
  <si>
    <t>2-Anilino-5-(4-methylpentan-2-ylamino)cyclohexa-2,5-diene-1,4-dione</t>
  </si>
  <si>
    <t>Nitrous acid</t>
  </si>
  <si>
    <t>2,4'-Dihydroxydiphenyl sulfone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</si>
</sst>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17" x14ac:knownFonts="1">
    <font>
      <sz val="12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4"/>
      <color theme="7" tint="0.79998168889431442"/>
      <name val="Calibri Light"/>
      <family val="2"/>
      <scheme val="major"/>
    </font>
    <font>
      <u/>
      <sz val="12"/>
      <color theme="1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theme="5" tint="-0.249977111117893"/>
      <name val="Calibri Light"/>
      <family val="2"/>
      <scheme val="major"/>
    </font>
    <font>
      <b/>
      <sz val="14"/>
      <color theme="5" tint="-0.249977111117893"/>
      <name val="Calibri Light"/>
      <family val="2"/>
      <scheme val="major"/>
    </font>
    <font>
      <b/>
      <sz val="12"/>
      <color theme="5" tint="-0.249977111117893"/>
      <name val="Calibri Light"/>
      <family val="2"/>
      <scheme val="major"/>
    </font>
    <font>
      <b/>
      <sz val="12"/>
      <color theme="7" tint="0.79998168889431442"/>
      <name val="Calibri Light"/>
      <family val="2"/>
      <scheme val="major"/>
    </font>
    <font>
      <b/>
      <i/>
      <sz val="12"/>
      <color theme="1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EB7E9A"/>
        <bgColor indexed="64"/>
      </patternFill>
    </fill>
    <fill>
      <patternFill patternType="solid">
        <fgColor rgb="FF6FFFB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FFF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0" xfId="1" applyFont="1" applyFill="1" applyAlignment="1">
      <alignment horizontal="left"/>
    </xf>
    <xf numFmtId="0" fontId="10" fillId="11" borderId="0" xfId="1" applyFont="1" applyFill="1" applyAlignment="1">
      <alignment horizontal="left"/>
    </xf>
    <xf numFmtId="0" fontId="10" fillId="5" borderId="0" xfId="1" applyFont="1" applyFill="1" applyAlignment="1">
      <alignment horizontal="left"/>
    </xf>
    <xf numFmtId="0" fontId="12" fillId="5" borderId="0" xfId="1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6" fillId="4" borderId="1" xfId="1" applyFont="1" applyFill="1" applyBorder="1" applyAlignment="1">
      <alignment horizontal="left"/>
    </xf>
    <xf numFmtId="0" fontId="6" fillId="4" borderId="2" xfId="1" applyFont="1" applyFill="1" applyBorder="1" applyAlignment="1">
      <alignment horizontal="left"/>
    </xf>
    <xf numFmtId="0" fontId="6" fillId="4" borderId="3" xfId="1" applyFont="1" applyFill="1" applyBorder="1" applyAlignment="1">
      <alignment horizontal="left"/>
    </xf>
    <xf numFmtId="0" fontId="3" fillId="3" borderId="0" xfId="1" applyFont="1" applyFill="1" applyAlignment="1">
      <alignment horizontal="left"/>
    </xf>
    <xf numFmtId="164" fontId="10" fillId="3" borderId="0" xfId="1" applyNumberFormat="1" applyFont="1" applyFill="1" applyAlignment="1">
      <alignment horizontal="left" vertical="center"/>
    </xf>
    <xf numFmtId="1" fontId="10" fillId="3" borderId="0" xfId="1" applyNumberFormat="1" applyFont="1" applyFill="1" applyAlignment="1">
      <alignment horizontal="left" vertical="center"/>
    </xf>
    <xf numFmtId="0" fontId="10" fillId="6" borderId="0" xfId="1" applyFont="1" applyFill="1" applyAlignment="1">
      <alignment horizontal="left"/>
    </xf>
    <xf numFmtId="2" fontId="10" fillId="3" borderId="0" xfId="1" applyNumberFormat="1" applyFont="1" applyFill="1" applyAlignment="1">
      <alignment horizontal="left"/>
    </xf>
    <xf numFmtId="11" fontId="10" fillId="3" borderId="0" xfId="1" applyNumberFormat="1" applyFont="1" applyFill="1" applyAlignment="1">
      <alignment horizontal="left"/>
    </xf>
    <xf numFmtId="0" fontId="11" fillId="3" borderId="0" xfId="1" applyFont="1" applyFill="1" applyAlignment="1">
      <alignment horizontal="left" wrapText="1" readingOrder="1"/>
    </xf>
    <xf numFmtId="0" fontId="1" fillId="11" borderId="0" xfId="1" applyFont="1" applyFill="1" applyAlignment="1">
      <alignment horizontal="left"/>
    </xf>
    <xf numFmtId="0" fontId="3" fillId="11" borderId="0" xfId="1" applyFont="1" applyFill="1" applyAlignment="1">
      <alignment horizontal="left"/>
    </xf>
    <xf numFmtId="0" fontId="10" fillId="5" borderId="0" xfId="1" applyFont="1" applyFill="1" applyAlignment="1">
      <alignment horizontal="left" vertical="center"/>
    </xf>
    <xf numFmtId="165" fontId="10" fillId="5" borderId="0" xfId="1" applyNumberFormat="1" applyFont="1" applyFill="1" applyAlignment="1">
      <alignment horizontal="left" vertical="center"/>
    </xf>
    <xf numFmtId="11" fontId="10" fillId="5" borderId="0" xfId="1" applyNumberFormat="1" applyFont="1" applyFill="1" applyAlignment="1">
      <alignment horizontal="left"/>
    </xf>
    <xf numFmtId="11" fontId="10" fillId="5" borderId="0" xfId="0" applyNumberFormat="1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2" fontId="3" fillId="5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1" fontId="3" fillId="5" borderId="0" xfId="0" applyNumberFormat="1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10" borderId="0" xfId="0" applyNumberFormat="1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10" fillId="10" borderId="0" xfId="1" applyFont="1" applyFill="1" applyAlignment="1">
      <alignment horizontal="left"/>
    </xf>
    <xf numFmtId="0" fontId="3" fillId="5" borderId="0" xfId="1" applyFont="1" applyFill="1" applyAlignment="1">
      <alignment horizontal="left"/>
    </xf>
    <xf numFmtId="0" fontId="13" fillId="4" borderId="2" xfId="1" applyFont="1" applyFill="1" applyBorder="1" applyAlignment="1">
      <alignment horizontal="left"/>
    </xf>
    <xf numFmtId="0" fontId="14" fillId="3" borderId="0" xfId="1" applyFont="1" applyFill="1" applyAlignment="1">
      <alignment horizontal="left"/>
    </xf>
    <xf numFmtId="0" fontId="12" fillId="3" borderId="0" xfId="1" applyFont="1" applyFill="1" applyAlignment="1">
      <alignment horizontal="left"/>
    </xf>
    <xf numFmtId="0" fontId="14" fillId="5" borderId="0" xfId="1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14" fillId="1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20" fontId="3" fillId="10" borderId="0" xfId="0" applyNumberFormat="1" applyFont="1" applyFill="1" applyAlignment="1">
      <alignment horizontal="left"/>
    </xf>
    <xf numFmtId="1" fontId="10" fillId="5" borderId="0" xfId="1" applyNumberFormat="1" applyFont="1" applyFill="1" applyAlignment="1">
      <alignment horizontal="left" vertical="center"/>
    </xf>
    <xf numFmtId="164" fontId="10" fillId="5" borderId="0" xfId="1" applyNumberFormat="1" applyFont="1" applyFill="1" applyAlignment="1">
      <alignment horizontal="left" vertical="center"/>
    </xf>
    <xf numFmtId="2" fontId="10" fillId="5" borderId="0" xfId="1" applyNumberFormat="1" applyFont="1" applyFill="1" applyAlignment="1">
      <alignment horizontal="left"/>
    </xf>
    <xf numFmtId="0" fontId="6" fillId="4" borderId="4" xfId="1" applyFont="1" applyFill="1" applyBorder="1" applyAlignment="1">
      <alignment horizontal="left"/>
    </xf>
    <xf numFmtId="2" fontId="6" fillId="4" borderId="4" xfId="1" applyNumberFormat="1" applyFont="1" applyFill="1" applyBorder="1" applyAlignment="1">
      <alignment horizontal="left" vertical="center"/>
    </xf>
    <xf numFmtId="0" fontId="6" fillId="4" borderId="4" xfId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6" borderId="0" xfId="1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8" fillId="10" borderId="0" xfId="0" applyFont="1" applyFill="1" applyAlignment="1">
      <alignment horizontal="left"/>
    </xf>
    <xf numFmtId="0" fontId="3" fillId="10" borderId="0" xfId="0" applyFont="1" applyFill="1"/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1" fontId="3" fillId="0" borderId="0" xfId="0" applyNumberFormat="1" applyFont="1"/>
    <xf numFmtId="0" fontId="8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0" borderId="0" xfId="2" applyFont="1" applyAlignment="1">
      <alignment horizontal="center" vertical="center"/>
    </xf>
    <xf numFmtId="0" fontId="10" fillId="2" borderId="0" xfId="1" applyFont="1" applyFill="1" applyAlignment="1">
      <alignment horizontal="left"/>
    </xf>
    <xf numFmtId="0" fontId="5" fillId="10" borderId="0" xfId="0" applyFont="1" applyFill="1"/>
    <xf numFmtId="0" fontId="15" fillId="4" borderId="2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3" fillId="2" borderId="0" xfId="1" applyFont="1" applyFill="1" applyAlignment="1">
      <alignment horizontal="left"/>
    </xf>
    <xf numFmtId="0" fontId="14" fillId="2" borderId="0" xfId="1" applyFont="1" applyFill="1" applyAlignment="1">
      <alignment horizontal="left"/>
    </xf>
    <xf numFmtId="164" fontId="10" fillId="2" borderId="0" xfId="1" applyNumberFormat="1" applyFont="1" applyFill="1" applyAlignment="1">
      <alignment horizontal="left" vertical="center"/>
    </xf>
    <xf numFmtId="1" fontId="10" fillId="2" borderId="0" xfId="1" applyNumberFormat="1" applyFont="1" applyFill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11" fontId="8" fillId="9" borderId="0" xfId="0" applyNumberFormat="1" applyFont="1" applyFill="1" applyAlignment="1">
      <alignment horizontal="center" vertical="center"/>
    </xf>
    <xf numFmtId="2" fontId="8" fillId="9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6" fontId="8" fillId="9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0" fontId="0" fillId="10" borderId="0" xfId="0" applyFill="1"/>
    <xf numFmtId="0" fontId="8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6" fontId="3" fillId="8" borderId="0" xfId="0" applyNumberFormat="1" applyFont="1" applyFill="1" applyAlignment="1">
      <alignment horizontal="center" vertical="center"/>
    </xf>
    <xf numFmtId="11" fontId="3" fillId="8" borderId="0" xfId="0" applyNumberFormat="1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8" fillId="9" borderId="0" xfId="0" applyNumberFormat="1" applyFont="1" applyFill="1" applyAlignment="1">
      <alignment vertical="center"/>
    </xf>
    <xf numFmtId="2" fontId="3" fillId="0" borderId="0" xfId="0" applyNumberFormat="1" applyFont="1" applyAlignment="1">
      <alignment vertical="center"/>
    </xf>
    <xf numFmtId="2" fontId="3" fillId="8" borderId="0" xfId="0" applyNumberFormat="1" applyFont="1" applyFill="1" applyAlignment="1">
      <alignment vertical="center"/>
    </xf>
    <xf numFmtId="2" fontId="3" fillId="0" borderId="0" xfId="0" applyNumberFormat="1" applyFont="1"/>
    <xf numFmtId="0" fontId="10" fillId="11" borderId="0" xfId="0" applyFont="1" applyFill="1" applyAlignment="1">
      <alignment horizontal="left"/>
    </xf>
    <xf numFmtId="0" fontId="12" fillId="11" borderId="0" xfId="0" applyFont="1" applyFill="1" applyAlignment="1">
      <alignment horizontal="left"/>
    </xf>
    <xf numFmtId="2" fontId="10" fillId="11" borderId="0" xfId="0" applyNumberFormat="1" applyFont="1" applyFill="1" applyAlignment="1">
      <alignment horizontal="left" vertical="center"/>
    </xf>
    <xf numFmtId="165" fontId="10" fillId="11" borderId="0" xfId="0" applyNumberFormat="1" applyFont="1" applyFill="1" applyAlignment="1">
      <alignment horizontal="left" vertical="center"/>
    </xf>
    <xf numFmtId="11" fontId="10" fillId="11" borderId="0" xfId="0" applyNumberFormat="1" applyFont="1" applyFill="1" applyAlignment="1">
      <alignment horizontal="left"/>
    </xf>
  </cellXfs>
  <cellStyles count="3">
    <cellStyle name="Hipervínculo" xfId="2" builtinId="8"/>
    <cellStyle name="Normal" xfId="0" builtinId="0"/>
    <cellStyle name="Normal 2" xfId="1" xr:uid="{37FCC565-12A7-0648-8007-DC156E6AE4A1}"/>
  </cellStyles>
  <dxfs count="0"/>
  <tableStyles count="0" defaultTableStyle="TableStyleMedium2" defaultPivotStyle="PivotStyleLight16"/>
  <colors>
    <mruColors>
      <color rgb="FFEB7E9A"/>
      <color rgb="FF6F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 REY SOGO" id="{D5AF762D-85E8-6F44-80B5-6C8946D6FB21}" userId="S::ana.rey@ehu.eus::667d62bb-9bc1-4d4c-92a2-cbd727b59a4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6-01T07:00:11.42" personId="{D5AF762D-85E8-6F44-80B5-6C8946D6FB21}" id="{D108FAD6-A7E6-D74E-A05E-FF414F75296C}">
    <text>Short-term prestige</text>
  </threadedComment>
  <threadedComment ref="L1" dT="2025-06-01T07:00:21.77" personId="{D5AF762D-85E8-6F44-80B5-6C8946D6FB21}" id="{C0E73818-4178-134B-AD3C-368CF98589B3}">
    <text>Long-term influence</text>
  </threadedComment>
  <threadedComment ref="M1" dT="2025-06-01T07:00:54.21" personId="{D5AF762D-85E8-6F44-80B5-6C8946D6FB21}" id="{2E46B305-E34B-C342-9953-AC44AFFB6C78}">
    <text>Quiality-adjusted, field-normalized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99" dT="2025-06-04T09:34:17.47" personId="{D5AF762D-85E8-6F44-80B5-6C8946D6FB21}" id="{BC7075C2-39DA-DA4F-9162-CE7CAAA01F98}">
    <text>En PBS</text>
  </threadedComment>
  <threadedComment ref="H447" dT="2025-06-10T09:45:14.12" personId="{D5AF762D-85E8-6F44-80B5-6C8946D6FB21}" id="{7FE188BE-E65C-9B4C-80CC-3D17C926D353}">
    <text>Frecuencia a las 8h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A4A8-DCEF-1746-A6C5-13F61C0A052E}">
  <dimension ref="A1:AR87"/>
  <sheetViews>
    <sheetView tabSelected="1" zoomScaleNormal="80" workbookViewId="0">
      <selection activeCell="E18" sqref="E18"/>
    </sheetView>
  </sheetViews>
  <sheetFormatPr baseColWidth="10" defaultRowHeight="19" x14ac:dyDescent="0.25"/>
  <cols>
    <col min="1" max="1" width="11.5" style="58" customWidth="1"/>
    <col min="2" max="2" width="8.6640625" style="14" customWidth="1"/>
    <col min="3" max="3" width="5.6640625" style="14" bestFit="1" customWidth="1"/>
    <col min="4" max="4" width="22" style="14" hidden="1" customWidth="1"/>
    <col min="5" max="5" width="148.5" style="14" customWidth="1"/>
    <col min="6" max="6" width="33.1640625" style="50" customWidth="1"/>
    <col min="7" max="7" width="13.33203125" style="14" customWidth="1"/>
    <col min="8" max="8" width="17.6640625" style="14" customWidth="1"/>
    <col min="9" max="9" width="8.1640625" style="38" bestFit="1" customWidth="1"/>
    <col min="10" max="10" width="14.33203125" style="38" bestFit="1" customWidth="1"/>
    <col min="11" max="11" width="9" style="38" bestFit="1" customWidth="1"/>
    <col min="12" max="12" width="15.6640625" style="39" bestFit="1" customWidth="1"/>
    <col min="13" max="13" width="6.1640625" style="39" bestFit="1" customWidth="1"/>
    <col min="14" max="14" width="8.83203125" style="14" bestFit="1" customWidth="1"/>
    <col min="15" max="15" width="20.1640625" style="14" bestFit="1" customWidth="1"/>
    <col min="16" max="16" width="13.6640625" style="14" bestFit="1" customWidth="1"/>
    <col min="17" max="17" width="23.33203125" style="14" bestFit="1" customWidth="1"/>
    <col min="18" max="18" width="18.83203125" style="14" bestFit="1" customWidth="1"/>
    <col min="19" max="19" width="14.1640625" style="14" bestFit="1" customWidth="1"/>
    <col min="20" max="20" width="21.1640625" style="14" bestFit="1" customWidth="1"/>
    <col min="21" max="21" width="15.6640625" style="14" bestFit="1" customWidth="1"/>
    <col min="22" max="22" width="16.6640625" style="14" bestFit="1" customWidth="1"/>
    <col min="23" max="23" width="24.5" style="14" bestFit="1" customWidth="1"/>
    <col min="24" max="24" width="37.5" style="14" bestFit="1" customWidth="1"/>
    <col min="25" max="16384" width="10.83203125" style="14"/>
  </cols>
  <sheetData>
    <row r="1" spans="1:24" s="55" customFormat="1" ht="20" thickBot="1" x14ac:dyDescent="0.3">
      <c r="A1" s="15" t="s">
        <v>261</v>
      </c>
      <c r="B1" s="16" t="s">
        <v>74</v>
      </c>
      <c r="C1" s="16" t="s">
        <v>75</v>
      </c>
      <c r="D1" s="16" t="s">
        <v>76</v>
      </c>
      <c r="E1" s="76" t="s">
        <v>77</v>
      </c>
      <c r="F1" s="44" t="s">
        <v>78</v>
      </c>
      <c r="G1" s="17" t="s">
        <v>79</v>
      </c>
      <c r="H1" s="55" t="s">
        <v>80</v>
      </c>
      <c r="I1" s="56" t="s">
        <v>81</v>
      </c>
      <c r="J1" s="56" t="s">
        <v>404</v>
      </c>
      <c r="K1" s="56" t="s">
        <v>405</v>
      </c>
      <c r="L1" s="57" t="s">
        <v>82</v>
      </c>
      <c r="M1" s="57" t="s">
        <v>83</v>
      </c>
      <c r="N1" s="55" t="s">
        <v>84</v>
      </c>
      <c r="O1" s="55" t="s">
        <v>415</v>
      </c>
      <c r="P1" s="55" t="s">
        <v>265</v>
      </c>
      <c r="Q1" s="55" t="s">
        <v>209</v>
      </c>
      <c r="R1" s="55" t="s">
        <v>210</v>
      </c>
      <c r="S1" s="55" t="s">
        <v>211</v>
      </c>
      <c r="T1" s="55" t="s">
        <v>212</v>
      </c>
      <c r="U1" s="55" t="s">
        <v>213</v>
      </c>
      <c r="V1" s="55" t="s">
        <v>214</v>
      </c>
      <c r="W1" s="55" t="s">
        <v>215</v>
      </c>
      <c r="X1" s="55" t="s">
        <v>216</v>
      </c>
    </row>
    <row r="2" spans="1:24" s="9" customFormat="1" x14ac:dyDescent="0.25">
      <c r="A2" s="59">
        <v>1</v>
      </c>
      <c r="B2" s="9" t="s">
        <v>85</v>
      </c>
      <c r="C2" s="9">
        <v>2024</v>
      </c>
      <c r="D2" s="9" t="s">
        <v>86</v>
      </c>
      <c r="E2" s="43" t="s">
        <v>87</v>
      </c>
      <c r="F2" s="47" t="s">
        <v>88</v>
      </c>
      <c r="G2" s="9" t="s">
        <v>89</v>
      </c>
      <c r="H2" s="9" t="s">
        <v>90</v>
      </c>
      <c r="I2" s="53">
        <v>7.7</v>
      </c>
      <c r="J2" s="53">
        <v>7.3</v>
      </c>
      <c r="K2" s="53">
        <v>7.7</v>
      </c>
      <c r="L2" s="52">
        <v>196</v>
      </c>
      <c r="M2" s="53">
        <v>1.8220000000000001</v>
      </c>
      <c r="N2" s="9" t="s">
        <v>91</v>
      </c>
      <c r="O2" s="9" t="s">
        <v>92</v>
      </c>
      <c r="P2" s="9">
        <v>37</v>
      </c>
      <c r="Q2" s="9">
        <v>37</v>
      </c>
      <c r="R2" s="54" t="s">
        <v>217</v>
      </c>
      <c r="S2" s="9" t="s">
        <v>218</v>
      </c>
      <c r="T2" s="9" t="s">
        <v>219</v>
      </c>
      <c r="U2" s="9">
        <v>0.5</v>
      </c>
      <c r="V2" s="29">
        <v>100000000</v>
      </c>
      <c r="W2" s="43" t="s">
        <v>220</v>
      </c>
      <c r="X2" s="9" t="s">
        <v>221</v>
      </c>
    </row>
    <row r="3" spans="1:24" s="7" customFormat="1" x14ac:dyDescent="0.25">
      <c r="A3" s="59">
        <v>2</v>
      </c>
      <c r="B3" s="7" t="s">
        <v>93</v>
      </c>
      <c r="C3" s="7">
        <v>2024</v>
      </c>
      <c r="D3" s="24" t="s">
        <v>94</v>
      </c>
      <c r="E3" s="18" t="s">
        <v>95</v>
      </c>
      <c r="F3" s="46" t="s">
        <v>96</v>
      </c>
      <c r="G3" s="7" t="s">
        <v>89</v>
      </c>
      <c r="H3" s="7" t="s">
        <v>97</v>
      </c>
      <c r="I3" s="19">
        <v>11.3</v>
      </c>
      <c r="J3" s="19">
        <v>10.1</v>
      </c>
      <c r="K3" s="19">
        <v>12.4</v>
      </c>
      <c r="L3" s="20">
        <v>375</v>
      </c>
      <c r="M3" s="19">
        <v>3.0779999999999998</v>
      </c>
      <c r="N3" s="7" t="s">
        <v>91</v>
      </c>
      <c r="O3" s="7" t="s">
        <v>98</v>
      </c>
      <c r="P3" s="7">
        <v>18</v>
      </c>
      <c r="Q3" s="7">
        <v>37</v>
      </c>
      <c r="R3" s="22" t="s">
        <v>217</v>
      </c>
      <c r="S3" s="7" t="s">
        <v>218</v>
      </c>
      <c r="T3" s="7" t="s">
        <v>219</v>
      </c>
      <c r="U3" s="7">
        <v>0.8</v>
      </c>
      <c r="V3" s="7" t="s">
        <v>10</v>
      </c>
      <c r="W3" s="18" t="s">
        <v>220</v>
      </c>
      <c r="X3" s="7" t="s">
        <v>221</v>
      </c>
    </row>
    <row r="4" spans="1:24" s="7" customFormat="1" x14ac:dyDescent="0.25">
      <c r="A4" s="59">
        <v>3</v>
      </c>
      <c r="B4" s="7" t="s">
        <v>99</v>
      </c>
      <c r="C4" s="7">
        <v>2024</v>
      </c>
      <c r="D4" s="7" t="s">
        <v>100</v>
      </c>
      <c r="E4" s="18" t="s">
        <v>101</v>
      </c>
      <c r="F4" s="45" t="s">
        <v>102</v>
      </c>
      <c r="G4" s="7" t="s">
        <v>89</v>
      </c>
      <c r="H4" s="7" t="s">
        <v>103</v>
      </c>
      <c r="I4" s="19">
        <v>7.3</v>
      </c>
      <c r="J4" s="19">
        <v>6.9</v>
      </c>
      <c r="K4" s="19">
        <v>8.1</v>
      </c>
      <c r="L4" s="20">
        <v>328</v>
      </c>
      <c r="M4" s="19">
        <v>2.2050000000000001</v>
      </c>
      <c r="N4" s="7" t="s">
        <v>91</v>
      </c>
      <c r="O4" s="7" t="s">
        <v>104</v>
      </c>
      <c r="P4" s="7">
        <v>8</v>
      </c>
      <c r="Q4" s="7">
        <v>37</v>
      </c>
      <c r="R4" s="7" t="s">
        <v>217</v>
      </c>
      <c r="S4" s="7" t="s">
        <v>218</v>
      </c>
      <c r="T4" s="7" t="s">
        <v>219</v>
      </c>
      <c r="U4" s="7" t="s">
        <v>10</v>
      </c>
      <c r="V4" s="23">
        <v>100000000</v>
      </c>
      <c r="W4" s="18" t="s">
        <v>220</v>
      </c>
      <c r="X4" s="7" t="s">
        <v>221</v>
      </c>
    </row>
    <row r="5" spans="1:24" s="7" customFormat="1" x14ac:dyDescent="0.25">
      <c r="A5" s="59">
        <v>4</v>
      </c>
      <c r="B5" s="7" t="s">
        <v>105</v>
      </c>
      <c r="C5" s="7">
        <v>2024</v>
      </c>
      <c r="D5" s="7" t="s">
        <v>106</v>
      </c>
      <c r="E5" s="18" t="s">
        <v>107</v>
      </c>
      <c r="F5" s="45" t="s">
        <v>108</v>
      </c>
      <c r="G5" s="7" t="s">
        <v>89</v>
      </c>
      <c r="H5" s="7" t="s">
        <v>109</v>
      </c>
      <c r="I5" s="19">
        <v>8.1</v>
      </c>
      <c r="J5" s="19">
        <v>7.9</v>
      </c>
      <c r="K5" s="19">
        <v>7.7</v>
      </c>
      <c r="L5" s="20">
        <v>329</v>
      </c>
      <c r="M5" s="19">
        <v>1.8959999999999999</v>
      </c>
      <c r="N5" s="7" t="s">
        <v>91</v>
      </c>
      <c r="O5" s="7" t="s">
        <v>110</v>
      </c>
      <c r="P5" s="7">
        <v>4</v>
      </c>
      <c r="Q5" s="7">
        <v>25</v>
      </c>
      <c r="R5" s="7" t="s">
        <v>217</v>
      </c>
      <c r="S5" s="7" t="s">
        <v>218</v>
      </c>
      <c r="T5" s="7" t="s">
        <v>219</v>
      </c>
      <c r="U5" s="7" t="s">
        <v>10</v>
      </c>
      <c r="V5" s="7" t="s">
        <v>10</v>
      </c>
      <c r="W5" s="18" t="s">
        <v>220</v>
      </c>
      <c r="X5" s="7" t="s">
        <v>221</v>
      </c>
    </row>
    <row r="6" spans="1:24" s="7" customFormat="1" x14ac:dyDescent="0.25">
      <c r="A6" s="59">
        <v>5</v>
      </c>
      <c r="B6" s="7" t="s">
        <v>111</v>
      </c>
      <c r="C6" s="7">
        <v>2024</v>
      </c>
      <c r="D6" s="7" t="s">
        <v>112</v>
      </c>
      <c r="E6" s="18" t="s">
        <v>114</v>
      </c>
      <c r="F6" s="45" t="s">
        <v>115</v>
      </c>
      <c r="G6" s="7" t="s">
        <v>89</v>
      </c>
      <c r="H6" s="7" t="s">
        <v>116</v>
      </c>
      <c r="I6" s="19">
        <v>4</v>
      </c>
      <c r="J6" s="19">
        <v>3.4</v>
      </c>
      <c r="K6" s="19">
        <v>4.5</v>
      </c>
      <c r="L6" s="20">
        <v>104</v>
      </c>
      <c r="M6" s="19">
        <v>0.82499999999999996</v>
      </c>
      <c r="N6" s="7" t="s">
        <v>91</v>
      </c>
      <c r="O6" s="7" t="s">
        <v>117</v>
      </c>
      <c r="P6" s="7">
        <v>18</v>
      </c>
      <c r="Q6" s="7">
        <v>37</v>
      </c>
      <c r="R6" s="7" t="s">
        <v>217</v>
      </c>
      <c r="S6" s="7" t="s">
        <v>218</v>
      </c>
      <c r="T6" s="7" t="s">
        <v>222</v>
      </c>
      <c r="U6" s="7">
        <v>0.4</v>
      </c>
      <c r="V6" s="23">
        <v>100000000</v>
      </c>
      <c r="W6" s="18" t="s">
        <v>220</v>
      </c>
      <c r="X6" s="7" t="s">
        <v>221</v>
      </c>
    </row>
    <row r="7" spans="1:24" s="7" customFormat="1" x14ac:dyDescent="0.25">
      <c r="A7" s="59">
        <v>6</v>
      </c>
      <c r="B7" s="7" t="s">
        <v>118</v>
      </c>
      <c r="C7" s="7">
        <v>2024</v>
      </c>
      <c r="D7" s="7" t="s">
        <v>119</v>
      </c>
      <c r="E7" s="18" t="s">
        <v>120</v>
      </c>
      <c r="F7" s="45" t="s">
        <v>434</v>
      </c>
      <c r="G7" s="7" t="s">
        <v>89</v>
      </c>
      <c r="H7" s="7" t="s">
        <v>121</v>
      </c>
      <c r="I7" s="19">
        <v>8.4</v>
      </c>
      <c r="J7" s="19">
        <v>7.8</v>
      </c>
      <c r="K7" s="19">
        <v>8.6</v>
      </c>
      <c r="L7" s="20">
        <v>268</v>
      </c>
      <c r="M7" s="19">
        <v>1.994</v>
      </c>
      <c r="N7" s="7" t="s">
        <v>91</v>
      </c>
      <c r="O7" s="7" t="s">
        <v>122</v>
      </c>
      <c r="P7" s="7">
        <v>8</v>
      </c>
      <c r="Q7" s="7">
        <v>25</v>
      </c>
      <c r="R7" s="7" t="s">
        <v>217</v>
      </c>
      <c r="S7" s="7" t="s">
        <v>218</v>
      </c>
      <c r="T7" s="7" t="s">
        <v>219</v>
      </c>
      <c r="U7" s="7">
        <v>0.5</v>
      </c>
      <c r="V7" s="7" t="s">
        <v>10</v>
      </c>
      <c r="W7" s="18" t="s">
        <v>220</v>
      </c>
      <c r="X7" s="7" t="s">
        <v>221</v>
      </c>
    </row>
    <row r="8" spans="1:24" s="7" customFormat="1" x14ac:dyDescent="0.25">
      <c r="A8" s="59">
        <v>9</v>
      </c>
      <c r="B8" s="7" t="s">
        <v>123</v>
      </c>
      <c r="C8" s="7">
        <v>2023</v>
      </c>
      <c r="D8" s="7" t="s">
        <v>124</v>
      </c>
      <c r="E8" s="18" t="s">
        <v>125</v>
      </c>
      <c r="F8" s="45" t="s">
        <v>435</v>
      </c>
      <c r="G8" s="7" t="s">
        <v>89</v>
      </c>
      <c r="H8" s="7" t="s">
        <v>126</v>
      </c>
      <c r="I8" s="19">
        <v>3.9</v>
      </c>
      <c r="J8" s="19">
        <v>3.8</v>
      </c>
      <c r="K8" s="19">
        <v>4.5999999999999996</v>
      </c>
      <c r="L8" s="20">
        <v>379</v>
      </c>
      <c r="M8" s="19">
        <v>1.016</v>
      </c>
      <c r="N8" s="7" t="s">
        <v>10</v>
      </c>
      <c r="O8" s="7" t="s">
        <v>127</v>
      </c>
      <c r="P8" s="7">
        <v>8</v>
      </c>
      <c r="Q8" s="7">
        <v>25</v>
      </c>
      <c r="R8" s="7" t="s">
        <v>217</v>
      </c>
      <c r="S8" s="7" t="s">
        <v>218</v>
      </c>
      <c r="T8" s="7" t="s">
        <v>219</v>
      </c>
      <c r="U8" s="7" t="s">
        <v>10</v>
      </c>
      <c r="V8" s="23">
        <v>800000000</v>
      </c>
      <c r="W8" s="18" t="s">
        <v>220</v>
      </c>
      <c r="X8" s="7" t="s">
        <v>221</v>
      </c>
    </row>
    <row r="9" spans="1:24" s="7" customFormat="1" x14ac:dyDescent="0.25">
      <c r="A9" s="59">
        <v>10</v>
      </c>
      <c r="B9" s="7" t="s">
        <v>128</v>
      </c>
      <c r="C9" s="7">
        <v>2023</v>
      </c>
      <c r="D9" s="7" t="s">
        <v>129</v>
      </c>
      <c r="E9" s="18" t="s">
        <v>130</v>
      </c>
      <c r="F9" s="45" t="s">
        <v>131</v>
      </c>
      <c r="G9" s="7" t="s">
        <v>89</v>
      </c>
      <c r="H9" s="7" t="s">
        <v>132</v>
      </c>
      <c r="I9" s="19">
        <v>8.1999999999999993</v>
      </c>
      <c r="J9" s="19">
        <v>7.3</v>
      </c>
      <c r="K9" s="19">
        <v>8.6</v>
      </c>
      <c r="L9" s="20">
        <v>399</v>
      </c>
      <c r="M9" s="19">
        <v>1.998</v>
      </c>
      <c r="N9" s="7" t="s">
        <v>10</v>
      </c>
      <c r="O9" s="7" t="s">
        <v>133</v>
      </c>
      <c r="P9" s="7">
        <v>37</v>
      </c>
      <c r="Q9" s="7">
        <v>20</v>
      </c>
      <c r="R9" s="7" t="s">
        <v>217</v>
      </c>
      <c r="S9" s="7" t="s">
        <v>218</v>
      </c>
      <c r="T9" s="7" t="s">
        <v>219</v>
      </c>
      <c r="U9" s="7" t="s">
        <v>10</v>
      </c>
      <c r="V9" s="23">
        <v>100000000</v>
      </c>
      <c r="W9" s="18" t="s">
        <v>220</v>
      </c>
      <c r="X9" s="7" t="s">
        <v>221</v>
      </c>
    </row>
    <row r="10" spans="1:24" s="7" customFormat="1" x14ac:dyDescent="0.25">
      <c r="A10" s="59">
        <v>11</v>
      </c>
      <c r="B10" s="7" t="s">
        <v>128</v>
      </c>
      <c r="C10" s="7">
        <v>2023</v>
      </c>
      <c r="D10" s="7" t="s">
        <v>134</v>
      </c>
      <c r="E10" s="18" t="s">
        <v>135</v>
      </c>
      <c r="F10" s="45" t="s">
        <v>136</v>
      </c>
      <c r="G10" s="7" t="s">
        <v>89</v>
      </c>
      <c r="H10" s="7" t="s">
        <v>137</v>
      </c>
      <c r="I10" s="19">
        <v>11.5</v>
      </c>
      <c r="J10" s="19">
        <v>10.5</v>
      </c>
      <c r="K10" s="19">
        <v>12.2</v>
      </c>
      <c r="L10" s="20">
        <v>396</v>
      </c>
      <c r="M10" s="19">
        <v>3.5960000000000001</v>
      </c>
      <c r="N10" s="7" t="s">
        <v>91</v>
      </c>
      <c r="O10" s="7" t="s">
        <v>138</v>
      </c>
      <c r="P10" s="7">
        <v>20</v>
      </c>
      <c r="Q10" s="7">
        <v>37</v>
      </c>
      <c r="R10" s="7" t="s">
        <v>217</v>
      </c>
      <c r="S10" s="7" t="s">
        <v>218</v>
      </c>
      <c r="T10" s="7" t="s">
        <v>219</v>
      </c>
      <c r="U10" s="7">
        <v>1</v>
      </c>
      <c r="V10" s="7" t="s">
        <v>10</v>
      </c>
      <c r="W10" s="18" t="s">
        <v>220</v>
      </c>
      <c r="X10" s="7" t="s">
        <v>221</v>
      </c>
    </row>
    <row r="11" spans="1:24" s="7" customFormat="1" x14ac:dyDescent="0.25">
      <c r="A11" s="59">
        <v>21</v>
      </c>
      <c r="B11" s="7" t="s">
        <v>141</v>
      </c>
      <c r="C11" s="7">
        <v>2022</v>
      </c>
      <c r="D11" s="7" t="s">
        <v>142</v>
      </c>
      <c r="E11" s="18" t="s">
        <v>143</v>
      </c>
      <c r="F11" s="45" t="s">
        <v>88</v>
      </c>
      <c r="G11" s="7" t="s">
        <v>89</v>
      </c>
      <c r="H11" s="7" t="s">
        <v>90</v>
      </c>
      <c r="I11" s="19">
        <v>8.3000000000000007</v>
      </c>
      <c r="J11" s="19">
        <v>7.6</v>
      </c>
      <c r="K11" s="19">
        <v>8.1999999999999993</v>
      </c>
      <c r="L11" s="20">
        <v>196</v>
      </c>
      <c r="M11" s="19">
        <v>1.635</v>
      </c>
      <c r="N11" s="7" t="s">
        <v>91</v>
      </c>
      <c r="O11" s="7" t="s">
        <v>92</v>
      </c>
      <c r="P11" s="7">
        <v>18</v>
      </c>
      <c r="Q11" s="7">
        <v>25</v>
      </c>
      <c r="R11" s="7" t="s">
        <v>217</v>
      </c>
      <c r="S11" s="7" t="s">
        <v>218</v>
      </c>
      <c r="T11" s="7" t="s">
        <v>219</v>
      </c>
      <c r="U11" s="7">
        <v>0.495</v>
      </c>
      <c r="V11" s="23">
        <v>100000000</v>
      </c>
      <c r="W11" s="18" t="s">
        <v>220</v>
      </c>
      <c r="X11" s="7" t="s">
        <v>221</v>
      </c>
    </row>
    <row r="12" spans="1:24" s="7" customFormat="1" x14ac:dyDescent="0.25">
      <c r="A12" s="59">
        <v>23</v>
      </c>
      <c r="B12" s="7" t="s">
        <v>144</v>
      </c>
      <c r="C12" s="7">
        <v>2022</v>
      </c>
      <c r="D12" s="7" t="s">
        <v>145</v>
      </c>
      <c r="E12" s="18" t="s">
        <v>146</v>
      </c>
      <c r="F12" s="45" t="s">
        <v>147</v>
      </c>
      <c r="G12" s="7" t="s">
        <v>89</v>
      </c>
      <c r="H12" s="7" t="s">
        <v>148</v>
      </c>
      <c r="I12" s="19">
        <v>5.0999999999999996</v>
      </c>
      <c r="J12" s="19">
        <v>4.9000000000000004</v>
      </c>
      <c r="K12" s="19">
        <v>5.8</v>
      </c>
      <c r="L12" s="20">
        <v>234</v>
      </c>
      <c r="M12" s="19">
        <v>1.391</v>
      </c>
      <c r="N12" s="7" t="s">
        <v>91</v>
      </c>
      <c r="O12" s="7" t="s">
        <v>149</v>
      </c>
      <c r="P12" s="7">
        <v>8</v>
      </c>
      <c r="Q12" s="7">
        <v>25</v>
      </c>
      <c r="R12" s="7" t="s">
        <v>217</v>
      </c>
      <c r="S12" s="7" t="s">
        <v>218</v>
      </c>
      <c r="T12" s="7" t="s">
        <v>219</v>
      </c>
      <c r="U12" s="7" t="s">
        <v>10</v>
      </c>
      <c r="V12" s="23">
        <v>100000000</v>
      </c>
      <c r="W12" s="18" t="s">
        <v>220</v>
      </c>
      <c r="X12" s="7" t="s">
        <v>221</v>
      </c>
    </row>
    <row r="13" spans="1:24" s="9" customFormat="1" x14ac:dyDescent="0.25">
      <c r="A13" s="59">
        <v>26</v>
      </c>
      <c r="B13" s="9" t="s">
        <v>150</v>
      </c>
      <c r="C13" s="9">
        <v>2022</v>
      </c>
      <c r="D13" s="9" t="s">
        <v>151</v>
      </c>
      <c r="E13" s="43" t="s">
        <v>152</v>
      </c>
      <c r="F13" s="47" t="s">
        <v>202</v>
      </c>
      <c r="G13" s="9" t="s">
        <v>89</v>
      </c>
      <c r="H13" s="9" t="s">
        <v>153</v>
      </c>
      <c r="I13" s="53">
        <v>11.8</v>
      </c>
      <c r="J13" s="53">
        <v>11.3</v>
      </c>
      <c r="K13" s="53">
        <v>12.4</v>
      </c>
      <c r="L13" s="52">
        <v>212</v>
      </c>
      <c r="M13" s="53">
        <v>0.94399999999999995</v>
      </c>
      <c r="N13" s="9" t="s">
        <v>91</v>
      </c>
      <c r="O13" s="9" t="s">
        <v>154</v>
      </c>
      <c r="P13" s="9">
        <v>8</v>
      </c>
      <c r="Q13" s="9">
        <v>25</v>
      </c>
      <c r="R13" s="9" t="s">
        <v>217</v>
      </c>
      <c r="S13" s="9" t="s">
        <v>218</v>
      </c>
      <c r="T13" s="9" t="s">
        <v>219</v>
      </c>
      <c r="U13" s="9">
        <v>0.5</v>
      </c>
      <c r="V13" s="29">
        <v>100000000</v>
      </c>
      <c r="W13" s="43" t="s">
        <v>220</v>
      </c>
      <c r="X13" s="9" t="s">
        <v>221</v>
      </c>
    </row>
    <row r="14" spans="1:24" s="7" customFormat="1" x14ac:dyDescent="0.25">
      <c r="A14" s="59">
        <v>27</v>
      </c>
      <c r="B14" s="7" t="s">
        <v>155</v>
      </c>
      <c r="C14" s="7">
        <v>2022</v>
      </c>
      <c r="D14" s="7" t="s">
        <v>156</v>
      </c>
      <c r="E14" s="18" t="s">
        <v>157</v>
      </c>
      <c r="F14" s="45" t="s">
        <v>158</v>
      </c>
      <c r="G14" s="7" t="s">
        <v>89</v>
      </c>
      <c r="H14" s="7" t="s">
        <v>159</v>
      </c>
      <c r="I14" s="19">
        <v>15.5</v>
      </c>
      <c r="J14" s="19">
        <v>15.1</v>
      </c>
      <c r="K14" s="19">
        <v>19.399999999999999</v>
      </c>
      <c r="L14" s="20">
        <v>163</v>
      </c>
      <c r="M14" s="19">
        <v>3.7090000000000001</v>
      </c>
      <c r="N14" s="7" t="s">
        <v>91</v>
      </c>
      <c r="O14" s="7" t="s">
        <v>160</v>
      </c>
      <c r="P14" s="7">
        <v>24</v>
      </c>
      <c r="Q14" s="7">
        <v>25</v>
      </c>
      <c r="R14" s="7" t="s">
        <v>217</v>
      </c>
      <c r="S14" s="7" t="s">
        <v>218</v>
      </c>
      <c r="T14" s="21" t="s">
        <v>518</v>
      </c>
      <c r="U14" s="7" t="s">
        <v>10</v>
      </c>
      <c r="V14" s="23">
        <v>10000000</v>
      </c>
      <c r="W14" s="18" t="s">
        <v>220</v>
      </c>
      <c r="X14" s="7" t="s">
        <v>221</v>
      </c>
    </row>
    <row r="15" spans="1:24" s="7" customFormat="1" x14ac:dyDescent="0.25">
      <c r="A15" s="59">
        <v>31</v>
      </c>
      <c r="B15" s="7" t="s">
        <v>161</v>
      </c>
      <c r="C15" s="7">
        <v>2022</v>
      </c>
      <c r="D15" s="7" t="s">
        <v>162</v>
      </c>
      <c r="E15" s="18" t="s">
        <v>163</v>
      </c>
      <c r="F15" s="45" t="s">
        <v>164</v>
      </c>
      <c r="G15" s="7" t="s">
        <v>89</v>
      </c>
      <c r="H15" s="7" t="s">
        <v>165</v>
      </c>
      <c r="I15" s="19">
        <v>15.7</v>
      </c>
      <c r="J15" s="19">
        <v>14.6</v>
      </c>
      <c r="K15" s="19">
        <v>14.2</v>
      </c>
      <c r="L15" s="20">
        <v>144</v>
      </c>
      <c r="M15" s="19">
        <v>2.2949999999999999</v>
      </c>
      <c r="N15" s="7" t="s">
        <v>91</v>
      </c>
      <c r="O15" s="7" t="s">
        <v>166</v>
      </c>
      <c r="P15" s="7">
        <v>12</v>
      </c>
      <c r="Q15" s="7">
        <v>37</v>
      </c>
      <c r="R15" s="7" t="s">
        <v>217</v>
      </c>
      <c r="S15" s="7" t="s">
        <v>218</v>
      </c>
      <c r="T15" s="21" t="s">
        <v>10</v>
      </c>
      <c r="U15" s="7" t="s">
        <v>10</v>
      </c>
      <c r="V15" s="23">
        <v>100000000</v>
      </c>
      <c r="W15" s="18" t="s">
        <v>220</v>
      </c>
      <c r="X15" s="7" t="s">
        <v>221</v>
      </c>
    </row>
    <row r="16" spans="1:24" s="7" customFormat="1" x14ac:dyDescent="0.25">
      <c r="A16" s="59">
        <v>32</v>
      </c>
      <c r="B16" s="7" t="s">
        <v>167</v>
      </c>
      <c r="C16" s="7">
        <v>2022</v>
      </c>
      <c r="D16" s="7" t="s">
        <v>168</v>
      </c>
      <c r="E16" s="18" t="s">
        <v>169</v>
      </c>
      <c r="F16" s="45" t="s">
        <v>170</v>
      </c>
      <c r="G16" s="7" t="s">
        <v>89</v>
      </c>
      <c r="H16" s="7" t="s">
        <v>139</v>
      </c>
      <c r="I16" s="19">
        <v>11.4</v>
      </c>
      <c r="J16" s="19">
        <v>10.3</v>
      </c>
      <c r="K16" s="19">
        <v>12</v>
      </c>
      <c r="L16" s="20">
        <v>504</v>
      </c>
      <c r="M16" s="19">
        <v>3.1230000000000002</v>
      </c>
      <c r="N16" s="7" t="s">
        <v>91</v>
      </c>
      <c r="O16" s="7" t="s">
        <v>140</v>
      </c>
      <c r="P16" s="7">
        <v>24</v>
      </c>
      <c r="Q16" s="7">
        <v>30</v>
      </c>
      <c r="R16" s="7" t="s">
        <v>217</v>
      </c>
      <c r="S16" s="7" t="s">
        <v>218</v>
      </c>
      <c r="T16" s="7" t="s">
        <v>219</v>
      </c>
      <c r="U16" s="7" t="s">
        <v>10</v>
      </c>
      <c r="V16" s="23">
        <v>100000000</v>
      </c>
      <c r="W16" s="18" t="s">
        <v>220</v>
      </c>
      <c r="X16" s="7" t="s">
        <v>221</v>
      </c>
    </row>
    <row r="17" spans="1:44" s="7" customFormat="1" x14ac:dyDescent="0.25">
      <c r="A17" s="59">
        <v>35</v>
      </c>
      <c r="B17" s="7" t="s">
        <v>174</v>
      </c>
      <c r="C17" s="7">
        <v>2022</v>
      </c>
      <c r="D17" s="7" t="s">
        <v>175</v>
      </c>
      <c r="E17" s="18" t="s">
        <v>176</v>
      </c>
      <c r="F17" s="45" t="s">
        <v>131</v>
      </c>
      <c r="G17" s="7" t="s">
        <v>89</v>
      </c>
      <c r="H17" s="7" t="s">
        <v>132</v>
      </c>
      <c r="I17" s="19">
        <v>9.8000000000000007</v>
      </c>
      <c r="J17" s="19">
        <v>8.8000000000000007</v>
      </c>
      <c r="K17" s="19">
        <v>9.6</v>
      </c>
      <c r="L17" s="20">
        <v>399</v>
      </c>
      <c r="M17" s="19">
        <v>1.946</v>
      </c>
      <c r="N17" s="7" t="s">
        <v>91</v>
      </c>
      <c r="O17" s="7" t="s">
        <v>133</v>
      </c>
      <c r="P17" s="7">
        <v>18</v>
      </c>
      <c r="Q17" s="7">
        <v>25</v>
      </c>
      <c r="R17" s="7" t="s">
        <v>217</v>
      </c>
      <c r="S17" s="7" t="s">
        <v>218</v>
      </c>
      <c r="T17" s="7" t="s">
        <v>219</v>
      </c>
      <c r="U17" s="7" t="s">
        <v>10</v>
      </c>
      <c r="V17" s="23">
        <v>100000000</v>
      </c>
      <c r="W17" s="18" t="s">
        <v>220</v>
      </c>
      <c r="X17" s="7" t="s">
        <v>221</v>
      </c>
    </row>
    <row r="18" spans="1:44" s="7" customFormat="1" x14ac:dyDescent="0.25">
      <c r="A18" s="59">
        <v>36</v>
      </c>
      <c r="B18" s="7" t="s">
        <v>177</v>
      </c>
      <c r="C18" s="7">
        <v>2022</v>
      </c>
      <c r="D18" s="7" t="s">
        <v>178</v>
      </c>
      <c r="E18" s="43" t="s">
        <v>179</v>
      </c>
      <c r="F18" s="45" t="s">
        <v>96</v>
      </c>
      <c r="G18" s="7" t="s">
        <v>89</v>
      </c>
      <c r="H18" s="7" t="s">
        <v>97</v>
      </c>
      <c r="I18" s="19">
        <v>13.6</v>
      </c>
      <c r="J18" s="19">
        <v>12.8</v>
      </c>
      <c r="K18" s="19">
        <v>12.7</v>
      </c>
      <c r="L18" s="20">
        <v>375</v>
      </c>
      <c r="M18" s="19">
        <v>2.57</v>
      </c>
      <c r="N18" s="7" t="s">
        <v>91</v>
      </c>
      <c r="O18" s="7" t="s">
        <v>98</v>
      </c>
      <c r="P18" s="7">
        <v>16</v>
      </c>
      <c r="Q18" s="7">
        <v>37</v>
      </c>
      <c r="R18" s="7" t="s">
        <v>217</v>
      </c>
      <c r="S18" s="7" t="s">
        <v>218</v>
      </c>
      <c r="T18" s="7" t="s">
        <v>222</v>
      </c>
      <c r="U18" s="7" t="s">
        <v>10</v>
      </c>
      <c r="V18" s="23">
        <v>200000000</v>
      </c>
      <c r="W18" s="18" t="s">
        <v>220</v>
      </c>
      <c r="X18" s="7" t="s">
        <v>221</v>
      </c>
    </row>
    <row r="19" spans="1:44" s="7" customFormat="1" x14ac:dyDescent="0.25">
      <c r="A19" s="59">
        <v>37</v>
      </c>
      <c r="B19" s="7" t="s">
        <v>180</v>
      </c>
      <c r="C19" s="7">
        <v>2021</v>
      </c>
      <c r="D19" s="7" t="s">
        <v>181</v>
      </c>
      <c r="E19" s="18" t="s">
        <v>182</v>
      </c>
      <c r="F19" s="45" t="s">
        <v>131</v>
      </c>
      <c r="G19" s="7" t="s">
        <v>89</v>
      </c>
      <c r="H19" s="7" t="s">
        <v>132</v>
      </c>
      <c r="I19" s="19">
        <v>10.753</v>
      </c>
      <c r="J19" s="19">
        <v>9.43</v>
      </c>
      <c r="K19" s="19">
        <v>10.237</v>
      </c>
      <c r="L19" s="20">
        <v>399</v>
      </c>
      <c r="M19" s="19">
        <v>1.806</v>
      </c>
      <c r="N19" s="7" t="s">
        <v>91</v>
      </c>
      <c r="O19" s="7" t="s">
        <v>133</v>
      </c>
      <c r="P19" s="7">
        <v>24</v>
      </c>
      <c r="Q19" s="7">
        <v>28</v>
      </c>
      <c r="R19" s="7" t="s">
        <v>217</v>
      </c>
      <c r="S19" s="7" t="s">
        <v>218</v>
      </c>
      <c r="T19" s="7" t="s">
        <v>219</v>
      </c>
      <c r="U19" s="7">
        <v>0.7</v>
      </c>
      <c r="V19" s="7" t="s">
        <v>10</v>
      </c>
      <c r="W19" s="18" t="s">
        <v>220</v>
      </c>
      <c r="X19" s="7" t="s">
        <v>221</v>
      </c>
    </row>
    <row r="20" spans="1:44" s="7" customFormat="1" x14ac:dyDescent="0.25">
      <c r="A20" s="59">
        <v>38</v>
      </c>
      <c r="B20" s="7" t="s">
        <v>183</v>
      </c>
      <c r="C20" s="7">
        <v>2021</v>
      </c>
      <c r="D20" s="7" t="s">
        <v>184</v>
      </c>
      <c r="E20" s="18" t="s">
        <v>185</v>
      </c>
      <c r="F20" s="45" t="s">
        <v>131</v>
      </c>
      <c r="G20" s="7" t="s">
        <v>89</v>
      </c>
      <c r="H20" s="7" t="s">
        <v>132</v>
      </c>
      <c r="I20" s="19">
        <v>10.753</v>
      </c>
      <c r="J20" s="19">
        <v>9.43</v>
      </c>
      <c r="K20" s="19">
        <v>10.237</v>
      </c>
      <c r="L20" s="20">
        <v>399</v>
      </c>
      <c r="M20" s="19">
        <v>1.806</v>
      </c>
      <c r="N20" s="7" t="s">
        <v>91</v>
      </c>
      <c r="O20" s="7" t="s">
        <v>133</v>
      </c>
      <c r="P20" s="7">
        <v>12</v>
      </c>
      <c r="Q20" s="7">
        <v>37</v>
      </c>
      <c r="R20" s="7" t="s">
        <v>217</v>
      </c>
      <c r="S20" s="7" t="s">
        <v>218</v>
      </c>
      <c r="T20" s="7" t="s">
        <v>219</v>
      </c>
      <c r="U20" s="7">
        <v>0.5</v>
      </c>
      <c r="V20" s="7" t="s">
        <v>10</v>
      </c>
      <c r="W20" s="18" t="s">
        <v>220</v>
      </c>
      <c r="X20" s="7" t="s">
        <v>221</v>
      </c>
    </row>
    <row r="21" spans="1:44" s="7" customFormat="1" x14ac:dyDescent="0.25">
      <c r="A21" s="59">
        <v>39</v>
      </c>
      <c r="B21" s="7" t="s">
        <v>186</v>
      </c>
      <c r="C21" s="7">
        <v>2021</v>
      </c>
      <c r="D21" s="7" t="s">
        <v>187</v>
      </c>
      <c r="E21" s="18" t="s">
        <v>188</v>
      </c>
      <c r="F21" s="45" t="s">
        <v>417</v>
      </c>
      <c r="G21" s="7" t="s">
        <v>89</v>
      </c>
      <c r="H21" s="7" t="s">
        <v>190</v>
      </c>
      <c r="I21" s="19">
        <v>11.217000000000001</v>
      </c>
      <c r="J21" s="19">
        <v>10.728999999999999</v>
      </c>
      <c r="K21" s="19">
        <v>13.214</v>
      </c>
      <c r="L21" s="20">
        <v>251</v>
      </c>
      <c r="M21" s="19">
        <v>3.3439999999999999</v>
      </c>
      <c r="N21" s="7" t="s">
        <v>91</v>
      </c>
      <c r="O21" s="7" t="s">
        <v>189</v>
      </c>
      <c r="P21" s="7">
        <v>8</v>
      </c>
      <c r="Q21" s="7">
        <v>25</v>
      </c>
      <c r="R21" s="7" t="s">
        <v>217</v>
      </c>
      <c r="S21" s="7" t="s">
        <v>218</v>
      </c>
      <c r="T21" s="7" t="s">
        <v>219</v>
      </c>
      <c r="U21" s="7">
        <v>0.7</v>
      </c>
      <c r="V21" s="23">
        <v>100000000</v>
      </c>
      <c r="W21" s="18" t="s">
        <v>220</v>
      </c>
      <c r="X21" s="7" t="s">
        <v>221</v>
      </c>
    </row>
    <row r="22" spans="1:44" s="8" customFormat="1" x14ac:dyDescent="0.25">
      <c r="A22" s="59">
        <v>46</v>
      </c>
      <c r="B22" s="9" t="s">
        <v>186</v>
      </c>
      <c r="C22" s="9">
        <v>2020</v>
      </c>
      <c r="D22" s="9" t="s">
        <v>187</v>
      </c>
      <c r="E22" s="43" t="s">
        <v>192</v>
      </c>
      <c r="F22" s="47" t="s">
        <v>170</v>
      </c>
      <c r="G22" s="9" t="s">
        <v>89</v>
      </c>
      <c r="H22" s="9" t="s">
        <v>139</v>
      </c>
      <c r="I22" s="53">
        <v>9.0280000000000005</v>
      </c>
      <c r="J22" s="53">
        <v>8.0790000000000006</v>
      </c>
      <c r="K22" s="53">
        <v>9.9220000000000006</v>
      </c>
      <c r="L22" s="52">
        <v>504</v>
      </c>
      <c r="M22" s="53">
        <v>2.6349999999999998</v>
      </c>
      <c r="N22" s="9" t="s">
        <v>91</v>
      </c>
      <c r="O22" s="9" t="s">
        <v>140</v>
      </c>
      <c r="P22" s="9">
        <v>8</v>
      </c>
      <c r="Q22" s="9">
        <v>28</v>
      </c>
      <c r="R22" s="9" t="s">
        <v>223</v>
      </c>
      <c r="S22" s="9" t="s">
        <v>264</v>
      </c>
      <c r="T22" s="9" t="s">
        <v>222</v>
      </c>
      <c r="U22" s="9">
        <v>0.05</v>
      </c>
      <c r="V22" s="9" t="s">
        <v>10</v>
      </c>
      <c r="W22" s="43" t="s">
        <v>220</v>
      </c>
      <c r="X22" s="9" t="s">
        <v>221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spans="1:44" s="7" customFormat="1" x14ac:dyDescent="0.25">
      <c r="A23" s="59">
        <v>50</v>
      </c>
      <c r="B23" s="7" t="s">
        <v>150</v>
      </c>
      <c r="C23" s="7">
        <v>2020</v>
      </c>
      <c r="D23" s="7" t="s">
        <v>193</v>
      </c>
      <c r="E23" s="18" t="s">
        <v>194</v>
      </c>
      <c r="F23" s="45" t="s">
        <v>136</v>
      </c>
      <c r="G23" s="7" t="s">
        <v>89</v>
      </c>
      <c r="H23" s="7" t="s">
        <v>137</v>
      </c>
      <c r="I23" s="19">
        <v>11.236000000000001</v>
      </c>
      <c r="J23" s="19">
        <v>10.177</v>
      </c>
      <c r="K23" s="19">
        <v>11.547000000000001</v>
      </c>
      <c r="L23" s="20">
        <v>396</v>
      </c>
      <c r="M23" s="19">
        <v>3.0990000000000002</v>
      </c>
      <c r="N23" s="7" t="s">
        <v>91</v>
      </c>
      <c r="O23" s="7" t="s">
        <v>138</v>
      </c>
      <c r="P23" s="7">
        <v>6</v>
      </c>
      <c r="Q23" s="9">
        <v>30</v>
      </c>
      <c r="R23" s="7" t="s">
        <v>217</v>
      </c>
      <c r="S23" s="7" t="s">
        <v>218</v>
      </c>
      <c r="T23" s="7" t="s">
        <v>219</v>
      </c>
      <c r="U23" s="7" t="s">
        <v>10</v>
      </c>
      <c r="V23" s="23">
        <v>100000000</v>
      </c>
      <c r="W23" s="18" t="s">
        <v>220</v>
      </c>
      <c r="X23" s="7" t="s">
        <v>221</v>
      </c>
    </row>
    <row r="24" spans="1:44" s="74" customFormat="1" x14ac:dyDescent="0.25">
      <c r="A24" s="77">
        <v>53</v>
      </c>
      <c r="B24" s="74" t="s">
        <v>195</v>
      </c>
      <c r="C24" s="74">
        <v>2019</v>
      </c>
      <c r="D24" s="74" t="s">
        <v>196</v>
      </c>
      <c r="E24" s="78" t="s">
        <v>197</v>
      </c>
      <c r="F24" s="79" t="s">
        <v>198</v>
      </c>
      <c r="G24" s="74" t="s">
        <v>89</v>
      </c>
      <c r="H24" s="74" t="s">
        <v>153</v>
      </c>
      <c r="I24" s="80">
        <v>3.056</v>
      </c>
      <c r="J24" s="80">
        <v>2.6280000000000001</v>
      </c>
      <c r="K24" s="80">
        <v>3.306</v>
      </c>
      <c r="L24" s="81">
        <v>212</v>
      </c>
      <c r="M24" s="80">
        <v>0.78800000000000003</v>
      </c>
      <c r="N24" s="74" t="s">
        <v>199</v>
      </c>
      <c r="O24" s="74" t="s">
        <v>154</v>
      </c>
      <c r="P24" s="74">
        <v>20</v>
      </c>
      <c r="Q24" s="74">
        <v>37</v>
      </c>
      <c r="R24" s="74" t="s">
        <v>217</v>
      </c>
      <c r="S24" s="74" t="s">
        <v>218</v>
      </c>
      <c r="T24" s="74" t="s">
        <v>219</v>
      </c>
      <c r="U24" s="74">
        <v>0.7</v>
      </c>
      <c r="V24" s="74" t="s">
        <v>10</v>
      </c>
      <c r="W24" s="78" t="s">
        <v>220</v>
      </c>
      <c r="X24" s="74" t="s">
        <v>221</v>
      </c>
    </row>
    <row r="25" spans="1:44" s="9" customFormat="1" x14ac:dyDescent="0.25">
      <c r="A25" s="59">
        <v>54</v>
      </c>
      <c r="B25" s="9" t="s">
        <v>99</v>
      </c>
      <c r="C25" s="9">
        <v>2019</v>
      </c>
      <c r="D25" s="9" t="s">
        <v>200</v>
      </c>
      <c r="E25" s="43" t="s">
        <v>201</v>
      </c>
      <c r="F25" s="47" t="s">
        <v>202</v>
      </c>
      <c r="G25" s="9" t="s">
        <v>89</v>
      </c>
      <c r="H25" s="9" t="s">
        <v>203</v>
      </c>
      <c r="I25" s="33">
        <v>7.577</v>
      </c>
      <c r="J25" s="33">
        <v>6.71</v>
      </c>
      <c r="K25" s="33">
        <v>8.9250000000000007</v>
      </c>
      <c r="L25" s="52">
        <v>274</v>
      </c>
      <c r="M25" s="53">
        <v>2.3570000000000002</v>
      </c>
      <c r="N25" s="9" t="s">
        <v>91</v>
      </c>
      <c r="O25" s="9" t="s">
        <v>204</v>
      </c>
      <c r="P25" s="9">
        <v>8</v>
      </c>
      <c r="Q25" s="9">
        <v>25</v>
      </c>
      <c r="R25" s="9" t="s">
        <v>217</v>
      </c>
      <c r="S25" s="9" t="s">
        <v>218</v>
      </c>
      <c r="T25" s="9" t="s">
        <v>219</v>
      </c>
      <c r="U25" s="9" t="s">
        <v>10</v>
      </c>
      <c r="V25" s="9" t="s">
        <v>10</v>
      </c>
      <c r="W25" s="43" t="s">
        <v>220</v>
      </c>
      <c r="X25" s="9" t="s">
        <v>221</v>
      </c>
    </row>
    <row r="26" spans="1:44" s="7" customFormat="1" x14ac:dyDescent="0.25">
      <c r="A26" s="59">
        <v>58</v>
      </c>
      <c r="B26" s="7" t="s">
        <v>155</v>
      </c>
      <c r="C26" s="7">
        <v>2019</v>
      </c>
      <c r="D26" s="7" t="s">
        <v>205</v>
      </c>
      <c r="E26" s="18" t="s">
        <v>206</v>
      </c>
      <c r="F26" s="45" t="s">
        <v>417</v>
      </c>
      <c r="G26" s="7" t="s">
        <v>89</v>
      </c>
      <c r="H26" s="7" t="s">
        <v>190</v>
      </c>
      <c r="I26" s="19">
        <v>9.18</v>
      </c>
      <c r="J26" s="19">
        <v>8.7430000000000003</v>
      </c>
      <c r="K26" s="19">
        <v>10.712999999999999</v>
      </c>
      <c r="L26" s="20">
        <v>251</v>
      </c>
      <c r="M26" s="19">
        <v>5.0730000000000004</v>
      </c>
      <c r="N26" s="7" t="s">
        <v>91</v>
      </c>
      <c r="O26" s="7" t="s">
        <v>189</v>
      </c>
      <c r="P26" s="7">
        <v>8</v>
      </c>
      <c r="Q26" s="7">
        <v>25</v>
      </c>
      <c r="R26" s="7" t="s">
        <v>217</v>
      </c>
      <c r="S26" s="7" t="s">
        <v>218</v>
      </c>
      <c r="T26" s="7" t="s">
        <v>219</v>
      </c>
      <c r="U26" s="7" t="s">
        <v>10</v>
      </c>
      <c r="V26" s="23">
        <v>100000000</v>
      </c>
      <c r="W26" s="43" t="s">
        <v>230</v>
      </c>
      <c r="X26" s="7" t="s">
        <v>221</v>
      </c>
    </row>
    <row r="27" spans="1:44" s="7" customFormat="1" x14ac:dyDescent="0.25">
      <c r="A27" s="59">
        <v>67</v>
      </c>
      <c r="B27" s="7" t="s">
        <v>155</v>
      </c>
      <c r="C27" s="7">
        <v>2015</v>
      </c>
      <c r="D27" s="7" t="s">
        <v>207</v>
      </c>
      <c r="E27" s="18" t="s">
        <v>208</v>
      </c>
      <c r="F27" s="45" t="s">
        <v>170</v>
      </c>
      <c r="G27" s="7" t="s">
        <v>89</v>
      </c>
      <c r="H27" s="7" t="s">
        <v>139</v>
      </c>
      <c r="I27" s="19">
        <v>4.0540000000000003</v>
      </c>
      <c r="J27" s="19">
        <v>2.887</v>
      </c>
      <c r="K27" s="19" t="s">
        <v>413</v>
      </c>
      <c r="L27" s="20">
        <v>504</v>
      </c>
      <c r="M27" s="19">
        <v>2.5459999999999998</v>
      </c>
      <c r="N27" s="7" t="s">
        <v>91</v>
      </c>
      <c r="O27" s="7" t="s">
        <v>140</v>
      </c>
      <c r="P27" s="7">
        <v>12</v>
      </c>
      <c r="Q27" s="7">
        <v>30</v>
      </c>
      <c r="R27" s="7" t="s">
        <v>217</v>
      </c>
      <c r="S27" s="7" t="s">
        <v>218</v>
      </c>
      <c r="T27" s="7" t="s">
        <v>219</v>
      </c>
      <c r="U27" s="7">
        <v>0.4</v>
      </c>
      <c r="V27" s="7" t="s">
        <v>10</v>
      </c>
      <c r="W27" s="18" t="s">
        <v>220</v>
      </c>
      <c r="X27" s="7" t="s">
        <v>221</v>
      </c>
    </row>
    <row r="28" spans="1:44" s="9" customFormat="1" x14ac:dyDescent="0.25">
      <c r="A28" s="59">
        <v>73</v>
      </c>
      <c r="B28" s="9" t="s">
        <v>171</v>
      </c>
      <c r="C28" s="9">
        <v>2025</v>
      </c>
      <c r="D28" s="9" t="s">
        <v>227</v>
      </c>
      <c r="E28" s="43" t="s">
        <v>228</v>
      </c>
      <c r="F28" s="10" t="s">
        <v>235</v>
      </c>
      <c r="G28" s="7" t="s">
        <v>89</v>
      </c>
      <c r="H28" s="9" t="s">
        <v>121</v>
      </c>
      <c r="I28" s="27">
        <v>8.4</v>
      </c>
      <c r="J28" s="27">
        <v>7.8</v>
      </c>
      <c r="K28" s="27">
        <v>8.6</v>
      </c>
      <c r="L28" s="27">
        <v>268</v>
      </c>
      <c r="M28" s="28">
        <v>1.994</v>
      </c>
      <c r="N28" s="9" t="s">
        <v>91</v>
      </c>
      <c r="O28" s="9" t="s">
        <v>122</v>
      </c>
      <c r="P28" s="9">
        <v>24</v>
      </c>
      <c r="Q28" s="9">
        <v>37</v>
      </c>
      <c r="R28" s="9" t="s">
        <v>217</v>
      </c>
      <c r="S28" s="9" t="s">
        <v>218</v>
      </c>
      <c r="T28" s="9" t="s">
        <v>219</v>
      </c>
      <c r="U28" s="9" t="s">
        <v>10</v>
      </c>
      <c r="V28" s="29">
        <v>100000000</v>
      </c>
      <c r="W28" s="43" t="s">
        <v>220</v>
      </c>
      <c r="X28" s="9" t="s">
        <v>221</v>
      </c>
    </row>
    <row r="29" spans="1:44" s="104" customFormat="1" x14ac:dyDescent="0.25">
      <c r="A29" s="25">
        <v>74</v>
      </c>
      <c r="B29" s="8" t="s">
        <v>232</v>
      </c>
      <c r="C29" s="8">
        <v>2025</v>
      </c>
      <c r="D29" s="8" t="s">
        <v>233</v>
      </c>
      <c r="E29" s="26" t="s">
        <v>234</v>
      </c>
      <c r="F29" s="105" t="s">
        <v>96</v>
      </c>
      <c r="G29" s="8" t="s">
        <v>89</v>
      </c>
      <c r="H29" s="104" t="s">
        <v>97</v>
      </c>
      <c r="I29" s="106">
        <v>11.3</v>
      </c>
      <c r="J29" s="106">
        <v>10.1</v>
      </c>
      <c r="K29" s="106">
        <v>12.4</v>
      </c>
      <c r="L29" s="82">
        <v>375</v>
      </c>
      <c r="M29" s="107">
        <v>3.0779999999999998</v>
      </c>
      <c r="N29" s="104" t="s">
        <v>91</v>
      </c>
      <c r="O29" s="104" t="s">
        <v>98</v>
      </c>
      <c r="P29" s="104">
        <v>8</v>
      </c>
      <c r="Q29" s="104">
        <v>37</v>
      </c>
      <c r="R29" s="104" t="s">
        <v>217</v>
      </c>
      <c r="S29" s="104" t="s">
        <v>218</v>
      </c>
      <c r="T29" s="104" t="s">
        <v>10</v>
      </c>
      <c r="U29" s="104" t="s">
        <v>10</v>
      </c>
      <c r="V29" s="108">
        <v>100000000</v>
      </c>
      <c r="W29" s="37" t="s">
        <v>220</v>
      </c>
      <c r="X29" s="104" t="s">
        <v>221</v>
      </c>
    </row>
    <row r="30" spans="1:44" s="12" customFormat="1" x14ac:dyDescent="0.25">
      <c r="A30" s="60">
        <v>75</v>
      </c>
      <c r="B30" s="12" t="s">
        <v>273</v>
      </c>
      <c r="C30" s="12">
        <v>2017</v>
      </c>
      <c r="D30" s="12" t="s">
        <v>266</v>
      </c>
      <c r="E30" s="12" t="s">
        <v>276</v>
      </c>
      <c r="F30" s="48" t="s">
        <v>108</v>
      </c>
      <c r="G30" s="9" t="s">
        <v>89</v>
      </c>
      <c r="H30" s="12" t="s">
        <v>109</v>
      </c>
      <c r="I30" s="33">
        <v>4.4269999999999996</v>
      </c>
      <c r="J30" s="33">
        <v>3.8980000000000001</v>
      </c>
      <c r="K30" s="33">
        <v>4.5510000000000002</v>
      </c>
      <c r="L30" s="34">
        <v>329</v>
      </c>
      <c r="M30" s="34">
        <v>1.4350000000000001</v>
      </c>
      <c r="N30" s="9" t="s">
        <v>91</v>
      </c>
      <c r="O30" s="9" t="s">
        <v>110</v>
      </c>
      <c r="P30" s="12">
        <v>12</v>
      </c>
      <c r="Q30" s="12">
        <v>37</v>
      </c>
      <c r="R30" s="12" t="s">
        <v>217</v>
      </c>
      <c r="S30" s="12" t="s">
        <v>218</v>
      </c>
      <c r="T30" s="12" t="s">
        <v>10</v>
      </c>
      <c r="U30" s="12">
        <v>0.8</v>
      </c>
      <c r="V30" s="30">
        <v>100000000</v>
      </c>
      <c r="W30" s="12" t="s">
        <v>220</v>
      </c>
      <c r="X30" s="12" t="s">
        <v>221</v>
      </c>
    </row>
    <row r="31" spans="1:44" s="12" customFormat="1" x14ac:dyDescent="0.25">
      <c r="A31" s="60">
        <v>76</v>
      </c>
      <c r="B31" s="12" t="s">
        <v>150</v>
      </c>
      <c r="C31" s="12">
        <v>2018</v>
      </c>
      <c r="D31" s="12" t="s">
        <v>267</v>
      </c>
      <c r="E31" s="12" t="s">
        <v>282</v>
      </c>
      <c r="F31" s="48" t="s">
        <v>283</v>
      </c>
      <c r="G31" s="9" t="s">
        <v>89</v>
      </c>
      <c r="H31" s="12" t="s">
        <v>203</v>
      </c>
      <c r="I31" s="33">
        <v>7.9429999999999996</v>
      </c>
      <c r="J31" s="33">
        <v>7.0979999999999999</v>
      </c>
      <c r="K31" s="33">
        <v>8.7629999999999999</v>
      </c>
      <c r="L31" s="34"/>
      <c r="M31" s="34"/>
      <c r="N31" s="11" t="s">
        <v>91</v>
      </c>
      <c r="O31" s="12" t="s">
        <v>403</v>
      </c>
      <c r="P31" s="12">
        <v>8</v>
      </c>
      <c r="Q31" s="12">
        <v>30</v>
      </c>
      <c r="R31" s="12" t="s">
        <v>217</v>
      </c>
      <c r="S31" s="12" t="s">
        <v>218</v>
      </c>
      <c r="T31" s="12" t="s">
        <v>219</v>
      </c>
      <c r="U31" s="12" t="s">
        <v>10</v>
      </c>
      <c r="V31" s="30">
        <v>100000000</v>
      </c>
      <c r="W31" s="12" t="s">
        <v>220</v>
      </c>
      <c r="X31" s="12" t="s">
        <v>221</v>
      </c>
    </row>
    <row r="32" spans="1:44" s="12" customFormat="1" x14ac:dyDescent="0.25">
      <c r="A32" s="60">
        <v>77</v>
      </c>
      <c r="B32" s="12" t="s">
        <v>167</v>
      </c>
      <c r="C32" s="12">
        <v>2019</v>
      </c>
      <c r="D32" s="12" t="s">
        <v>268</v>
      </c>
      <c r="E32" s="12" t="s">
        <v>284</v>
      </c>
      <c r="F32" s="48" t="s">
        <v>136</v>
      </c>
      <c r="G32" s="9" t="s">
        <v>89</v>
      </c>
      <c r="H32" s="12" t="s">
        <v>137</v>
      </c>
      <c r="I32" s="33">
        <v>9.1300000000000008</v>
      </c>
      <c r="J32" s="33">
        <v>8.1769999999999996</v>
      </c>
      <c r="K32" s="33">
        <v>9.6389999999999993</v>
      </c>
      <c r="L32" s="34"/>
      <c r="M32" s="34"/>
      <c r="N32" s="9" t="s">
        <v>91</v>
      </c>
      <c r="O32" s="12" t="s">
        <v>138</v>
      </c>
      <c r="P32" s="12">
        <v>24</v>
      </c>
      <c r="Q32" s="12">
        <v>30</v>
      </c>
      <c r="R32" s="12" t="s">
        <v>217</v>
      </c>
      <c r="S32" s="12" t="s">
        <v>218</v>
      </c>
      <c r="T32" s="12" t="s">
        <v>219</v>
      </c>
      <c r="U32" s="12" t="s">
        <v>285</v>
      </c>
      <c r="V32" s="12" t="s">
        <v>10</v>
      </c>
      <c r="W32" s="12" t="s">
        <v>220</v>
      </c>
      <c r="X32" s="12" t="s">
        <v>221</v>
      </c>
    </row>
    <row r="33" spans="1:24" s="12" customFormat="1" x14ac:dyDescent="0.25">
      <c r="A33" s="60">
        <v>78</v>
      </c>
      <c r="B33" s="12" t="s">
        <v>174</v>
      </c>
      <c r="C33" s="12">
        <v>2022</v>
      </c>
      <c r="D33" s="12" t="s">
        <v>175</v>
      </c>
      <c r="E33" s="12" t="s">
        <v>286</v>
      </c>
      <c r="F33" s="48" t="s">
        <v>96</v>
      </c>
      <c r="G33" s="9" t="s">
        <v>89</v>
      </c>
      <c r="H33" s="12" t="s">
        <v>97</v>
      </c>
      <c r="I33" s="33">
        <v>13.6</v>
      </c>
      <c r="J33" s="33">
        <v>12.8</v>
      </c>
      <c r="K33" s="33">
        <v>12.7</v>
      </c>
      <c r="L33" s="34"/>
      <c r="M33" s="34"/>
      <c r="N33" s="11" t="s">
        <v>91</v>
      </c>
      <c r="O33" s="12" t="s">
        <v>98</v>
      </c>
      <c r="P33" s="12">
        <v>8</v>
      </c>
      <c r="Q33" s="12">
        <v>37</v>
      </c>
      <c r="R33" s="12" t="s">
        <v>217</v>
      </c>
      <c r="S33" s="12" t="s">
        <v>218</v>
      </c>
      <c r="T33" s="12" t="s">
        <v>219</v>
      </c>
      <c r="U33" s="12" t="s">
        <v>10</v>
      </c>
      <c r="V33" s="12" t="s">
        <v>10</v>
      </c>
      <c r="W33" s="12" t="s">
        <v>220</v>
      </c>
      <c r="X33" s="12" t="s">
        <v>221</v>
      </c>
    </row>
    <row r="34" spans="1:24" s="12" customFormat="1" x14ac:dyDescent="0.25">
      <c r="A34" s="60">
        <v>80</v>
      </c>
      <c r="B34" s="12" t="s">
        <v>274</v>
      </c>
      <c r="C34" s="12">
        <v>2023</v>
      </c>
      <c r="D34" s="12" t="s">
        <v>269</v>
      </c>
      <c r="E34" s="12" t="s">
        <v>287</v>
      </c>
      <c r="F34" s="48" t="s">
        <v>108</v>
      </c>
      <c r="G34" s="9" t="s">
        <v>89</v>
      </c>
      <c r="H34" s="12" t="s">
        <v>109</v>
      </c>
      <c r="I34" s="19">
        <v>8.1</v>
      </c>
      <c r="J34" s="19">
        <v>7.9</v>
      </c>
      <c r="K34" s="19">
        <v>7.7</v>
      </c>
      <c r="L34" s="34"/>
      <c r="M34" s="34"/>
      <c r="N34" s="9" t="s">
        <v>91</v>
      </c>
      <c r="O34" s="12" t="s">
        <v>110</v>
      </c>
      <c r="P34" s="12">
        <v>18</v>
      </c>
      <c r="Q34" s="12">
        <v>37</v>
      </c>
      <c r="R34" s="12" t="s">
        <v>217</v>
      </c>
      <c r="S34" s="12" t="s">
        <v>218</v>
      </c>
      <c r="T34" s="12" t="s">
        <v>219</v>
      </c>
      <c r="U34" s="12">
        <v>0.8</v>
      </c>
      <c r="V34" s="12" t="s">
        <v>10</v>
      </c>
      <c r="W34" s="12" t="s">
        <v>220</v>
      </c>
      <c r="X34" s="12" t="s">
        <v>221</v>
      </c>
    </row>
    <row r="35" spans="1:24" s="12" customFormat="1" x14ac:dyDescent="0.25">
      <c r="A35" s="60">
        <v>81</v>
      </c>
      <c r="B35" s="12" t="s">
        <v>85</v>
      </c>
      <c r="C35" s="12">
        <v>2024</v>
      </c>
      <c r="D35" s="12" t="s">
        <v>86</v>
      </c>
      <c r="E35" s="12" t="s">
        <v>289</v>
      </c>
      <c r="F35" s="48" t="s">
        <v>420</v>
      </c>
      <c r="G35" s="9" t="s">
        <v>89</v>
      </c>
      <c r="H35" s="12" t="s">
        <v>418</v>
      </c>
      <c r="I35" s="33">
        <v>6.1</v>
      </c>
      <c r="J35" s="33">
        <v>5.7</v>
      </c>
      <c r="K35" s="33">
        <v>6.4</v>
      </c>
      <c r="L35" s="34"/>
      <c r="M35" s="34"/>
      <c r="N35" s="11" t="s">
        <v>91</v>
      </c>
      <c r="O35" s="12" t="s">
        <v>419</v>
      </c>
      <c r="P35" s="12">
        <v>16</v>
      </c>
      <c r="Q35" s="12">
        <v>37</v>
      </c>
      <c r="R35" s="12" t="s">
        <v>217</v>
      </c>
      <c r="S35" s="12" t="s">
        <v>218</v>
      </c>
      <c r="T35" s="12" t="s">
        <v>222</v>
      </c>
      <c r="U35" s="12" t="s">
        <v>10</v>
      </c>
      <c r="V35" s="35">
        <f>2*10^8</f>
        <v>200000000</v>
      </c>
      <c r="W35" s="12" t="s">
        <v>220</v>
      </c>
      <c r="X35" s="12" t="s">
        <v>221</v>
      </c>
    </row>
    <row r="36" spans="1:24" s="12" customFormat="1" x14ac:dyDescent="0.25">
      <c r="A36" s="60">
        <v>82</v>
      </c>
      <c r="B36" s="12" t="s">
        <v>275</v>
      </c>
      <c r="C36" s="12">
        <v>2024</v>
      </c>
      <c r="D36" s="12" t="s">
        <v>270</v>
      </c>
      <c r="E36" s="12" t="s">
        <v>290</v>
      </c>
      <c r="F36" s="48" t="s">
        <v>96</v>
      </c>
      <c r="G36" s="12" t="s">
        <v>89</v>
      </c>
      <c r="H36" s="12" t="s">
        <v>97</v>
      </c>
      <c r="I36" s="33">
        <v>11.3</v>
      </c>
      <c r="J36" s="33">
        <v>10.1</v>
      </c>
      <c r="K36" s="33">
        <v>12.4</v>
      </c>
      <c r="L36" s="34"/>
      <c r="M36" s="34"/>
      <c r="N36" s="9" t="s">
        <v>91</v>
      </c>
      <c r="O36" s="12" t="s">
        <v>98</v>
      </c>
      <c r="P36" s="12">
        <v>60</v>
      </c>
      <c r="Q36" s="12">
        <v>25</v>
      </c>
      <c r="R36" s="12" t="s">
        <v>217</v>
      </c>
      <c r="S36" s="12" t="s">
        <v>218</v>
      </c>
      <c r="T36" s="12" t="s">
        <v>219</v>
      </c>
      <c r="U36" s="12" t="s">
        <v>10</v>
      </c>
      <c r="V36" s="35">
        <f>2*10^8</f>
        <v>200000000</v>
      </c>
      <c r="W36" s="12" t="s">
        <v>220</v>
      </c>
      <c r="X36" s="12" t="s">
        <v>221</v>
      </c>
    </row>
    <row r="37" spans="1:24" s="12" customFormat="1" x14ac:dyDescent="0.25">
      <c r="A37" s="60">
        <v>83</v>
      </c>
      <c r="B37" s="12" t="s">
        <v>171</v>
      </c>
      <c r="C37" s="12">
        <v>2025</v>
      </c>
      <c r="D37" s="12" t="s">
        <v>227</v>
      </c>
      <c r="E37" s="12" t="s">
        <v>293</v>
      </c>
      <c r="F37" s="48" t="s">
        <v>294</v>
      </c>
      <c r="G37" s="12" t="s">
        <v>89</v>
      </c>
      <c r="H37" s="12" t="s">
        <v>422</v>
      </c>
      <c r="I37" s="33">
        <v>4.3</v>
      </c>
      <c r="J37" s="33">
        <v>4.0999999999999996</v>
      </c>
      <c r="K37" s="33">
        <v>4.4000000000000004</v>
      </c>
      <c r="L37" s="34"/>
      <c r="M37" s="34"/>
      <c r="N37" s="11" t="s">
        <v>91</v>
      </c>
      <c r="O37" s="12" t="s">
        <v>421</v>
      </c>
      <c r="P37" s="12">
        <v>18</v>
      </c>
      <c r="Q37" s="12">
        <v>37</v>
      </c>
      <c r="R37" s="12" t="s">
        <v>217</v>
      </c>
      <c r="S37" s="12" t="s">
        <v>218</v>
      </c>
      <c r="T37" s="12" t="s">
        <v>222</v>
      </c>
      <c r="U37" s="12">
        <v>0.4</v>
      </c>
      <c r="V37" s="12" t="s">
        <v>10</v>
      </c>
      <c r="W37" s="12" t="s">
        <v>220</v>
      </c>
      <c r="X37" s="12" t="s">
        <v>221</v>
      </c>
    </row>
    <row r="38" spans="1:24" s="12" customFormat="1" x14ac:dyDescent="0.25">
      <c r="A38" s="60">
        <v>84</v>
      </c>
      <c r="B38" s="12" t="s">
        <v>118</v>
      </c>
      <c r="C38" s="12">
        <v>2025</v>
      </c>
      <c r="D38" s="12" t="s">
        <v>271</v>
      </c>
      <c r="E38" s="12" t="s">
        <v>295</v>
      </c>
      <c r="F38" s="48" t="s">
        <v>96</v>
      </c>
      <c r="G38" s="12" t="s">
        <v>89</v>
      </c>
      <c r="H38" s="12" t="s">
        <v>97</v>
      </c>
      <c r="I38" s="33">
        <v>11.3</v>
      </c>
      <c r="J38" s="33">
        <v>10.1</v>
      </c>
      <c r="K38" s="33">
        <v>12.4</v>
      </c>
      <c r="L38" s="34"/>
      <c r="M38" s="34"/>
      <c r="N38" s="9" t="s">
        <v>91</v>
      </c>
      <c r="O38" s="12" t="s">
        <v>98</v>
      </c>
      <c r="P38" s="12">
        <v>4</v>
      </c>
      <c r="Q38" s="12">
        <v>25</v>
      </c>
      <c r="R38" s="12" t="s">
        <v>217</v>
      </c>
      <c r="S38" s="12" t="s">
        <v>218</v>
      </c>
      <c r="T38" s="32" t="s">
        <v>10</v>
      </c>
      <c r="U38" s="12">
        <v>0.5</v>
      </c>
      <c r="V38" s="12" t="s">
        <v>10</v>
      </c>
      <c r="W38" s="12" t="s">
        <v>220</v>
      </c>
      <c r="X38" s="12" t="s">
        <v>221</v>
      </c>
    </row>
    <row r="39" spans="1:24" s="12" customFormat="1" x14ac:dyDescent="0.25">
      <c r="A39" s="60">
        <v>85</v>
      </c>
      <c r="B39" s="12" t="s">
        <v>118</v>
      </c>
      <c r="C39" s="12">
        <v>2025</v>
      </c>
      <c r="D39" s="12" t="s">
        <v>272</v>
      </c>
      <c r="E39" s="12" t="s">
        <v>297</v>
      </c>
      <c r="F39" s="48" t="s">
        <v>96</v>
      </c>
      <c r="G39" s="12" t="s">
        <v>89</v>
      </c>
      <c r="H39" s="12" t="s">
        <v>97</v>
      </c>
      <c r="I39" s="33">
        <v>11.3</v>
      </c>
      <c r="J39" s="33">
        <v>10.1</v>
      </c>
      <c r="K39" s="33">
        <v>12.4</v>
      </c>
      <c r="L39" s="34"/>
      <c r="M39" s="34"/>
      <c r="N39" s="11" t="s">
        <v>91</v>
      </c>
      <c r="O39" s="12" t="s">
        <v>98</v>
      </c>
      <c r="P39" s="12">
        <v>48</v>
      </c>
      <c r="Q39" s="31">
        <v>37</v>
      </c>
      <c r="R39" s="12" t="s">
        <v>217</v>
      </c>
      <c r="S39" s="12" t="s">
        <v>218</v>
      </c>
      <c r="T39" s="12" t="s">
        <v>219</v>
      </c>
      <c r="U39" s="12">
        <v>1</v>
      </c>
      <c r="V39" s="12" t="s">
        <v>10</v>
      </c>
      <c r="W39" s="12" t="s">
        <v>220</v>
      </c>
      <c r="X39" s="12" t="s">
        <v>221</v>
      </c>
    </row>
    <row r="40" spans="1:24" s="12" customFormat="1" x14ac:dyDescent="0.25">
      <c r="A40" s="60">
        <v>86</v>
      </c>
      <c r="B40" s="12" t="s">
        <v>144</v>
      </c>
      <c r="C40" s="12">
        <v>2025</v>
      </c>
      <c r="D40" s="12" t="s">
        <v>314</v>
      </c>
      <c r="E40" s="12" t="s">
        <v>299</v>
      </c>
      <c r="F40" s="48" t="s">
        <v>96</v>
      </c>
      <c r="G40" s="12" t="s">
        <v>89</v>
      </c>
      <c r="H40" s="12" t="s">
        <v>97</v>
      </c>
      <c r="I40" s="33">
        <v>11.3</v>
      </c>
      <c r="J40" s="33">
        <v>10.1</v>
      </c>
      <c r="K40" s="33">
        <v>12.4</v>
      </c>
      <c r="L40" s="34"/>
      <c r="M40" s="34"/>
      <c r="N40" s="9" t="s">
        <v>91</v>
      </c>
      <c r="O40" s="12" t="s">
        <v>98</v>
      </c>
      <c r="P40" s="12">
        <v>24</v>
      </c>
      <c r="Q40" s="12">
        <v>37</v>
      </c>
      <c r="R40" s="12" t="s">
        <v>217</v>
      </c>
      <c r="S40" s="12" t="s">
        <v>218</v>
      </c>
      <c r="T40" s="32" t="s">
        <v>10</v>
      </c>
      <c r="U40" s="12" t="s">
        <v>10</v>
      </c>
      <c r="V40" s="12" t="s">
        <v>10</v>
      </c>
      <c r="W40" s="12" t="s">
        <v>220</v>
      </c>
      <c r="X40" s="12" t="s">
        <v>221</v>
      </c>
    </row>
    <row r="41" spans="1:24" s="13" customFormat="1" x14ac:dyDescent="0.25">
      <c r="A41" s="61">
        <v>93</v>
      </c>
      <c r="B41" s="36" t="s">
        <v>155</v>
      </c>
      <c r="C41" s="36">
        <v>2018</v>
      </c>
      <c r="D41" s="36" t="s">
        <v>315</v>
      </c>
      <c r="E41" s="36" t="s">
        <v>314</v>
      </c>
      <c r="F41" s="49" t="s">
        <v>406</v>
      </c>
      <c r="G41" s="36" t="s">
        <v>89</v>
      </c>
      <c r="H41" s="36" t="s">
        <v>412</v>
      </c>
      <c r="I41" s="40">
        <v>5.4779999999999998</v>
      </c>
      <c r="J41" s="40">
        <v>4.7329999999999997</v>
      </c>
      <c r="K41" s="40">
        <v>5.5330000000000004</v>
      </c>
      <c r="L41" s="41"/>
      <c r="M41" s="41"/>
      <c r="N41" s="36" t="s">
        <v>91</v>
      </c>
      <c r="O41" s="36"/>
      <c r="P41" s="36">
        <v>12</v>
      </c>
      <c r="Q41" s="36">
        <v>37</v>
      </c>
      <c r="R41" s="36" t="s">
        <v>217</v>
      </c>
      <c r="S41" s="36" t="s">
        <v>218</v>
      </c>
      <c r="T41" s="36" t="s">
        <v>222</v>
      </c>
      <c r="U41" s="36" t="s">
        <v>10</v>
      </c>
      <c r="V41" s="36" t="s">
        <v>348</v>
      </c>
      <c r="W41" s="36" t="s">
        <v>220</v>
      </c>
      <c r="X41" s="36" t="s">
        <v>221</v>
      </c>
    </row>
    <row r="42" spans="1:24" s="13" customFormat="1" x14ac:dyDescent="0.25">
      <c r="A42" s="61">
        <v>97</v>
      </c>
      <c r="B42" s="36" t="s">
        <v>191</v>
      </c>
      <c r="C42" s="36">
        <v>2019</v>
      </c>
      <c r="D42" s="36" t="s">
        <v>319</v>
      </c>
      <c r="E42" s="36" t="s">
        <v>318</v>
      </c>
      <c r="F42" s="49" t="s">
        <v>202</v>
      </c>
      <c r="G42" s="36" t="s">
        <v>89</v>
      </c>
      <c r="H42" s="36" t="s">
        <v>203</v>
      </c>
      <c r="I42" s="40">
        <v>7.577</v>
      </c>
      <c r="J42" s="40">
        <v>6.71</v>
      </c>
      <c r="K42" s="40">
        <v>8.9250000000000007</v>
      </c>
      <c r="L42" s="41"/>
      <c r="M42" s="41"/>
      <c r="N42" s="36" t="s">
        <v>91</v>
      </c>
      <c r="O42" s="36" t="s">
        <v>204</v>
      </c>
      <c r="P42" s="36">
        <v>24</v>
      </c>
      <c r="Q42" s="36">
        <v>30</v>
      </c>
      <c r="R42" s="36" t="s">
        <v>217</v>
      </c>
      <c r="S42" s="36" t="s">
        <v>218</v>
      </c>
      <c r="T42" s="36" t="s">
        <v>219</v>
      </c>
      <c r="U42" s="36" t="s">
        <v>10</v>
      </c>
      <c r="V42" s="36" t="s">
        <v>348</v>
      </c>
      <c r="W42" s="36" t="s">
        <v>220</v>
      </c>
      <c r="X42" s="36" t="s">
        <v>221</v>
      </c>
    </row>
    <row r="43" spans="1:24" s="13" customFormat="1" x14ac:dyDescent="0.25">
      <c r="A43" s="61">
        <v>99</v>
      </c>
      <c r="B43" s="36" t="s">
        <v>321</v>
      </c>
      <c r="C43" s="36">
        <v>2023</v>
      </c>
      <c r="D43" s="36" t="s">
        <v>322</v>
      </c>
      <c r="E43" s="36" t="s">
        <v>320</v>
      </c>
      <c r="F43" s="49" t="s">
        <v>173</v>
      </c>
      <c r="G43" s="36" t="s">
        <v>89</v>
      </c>
      <c r="H43" s="36" t="s">
        <v>414</v>
      </c>
      <c r="I43" s="40">
        <v>5.9</v>
      </c>
      <c r="J43" s="40">
        <v>5.8</v>
      </c>
      <c r="K43" s="40">
        <v>5.6</v>
      </c>
      <c r="L43" s="41"/>
      <c r="M43" s="41"/>
      <c r="N43" s="36" t="s">
        <v>91</v>
      </c>
      <c r="O43" s="36" t="s">
        <v>416</v>
      </c>
      <c r="P43" s="36">
        <v>18</v>
      </c>
      <c r="Q43" s="36">
        <v>37</v>
      </c>
      <c r="R43" s="51" t="s">
        <v>217</v>
      </c>
      <c r="S43" s="36" t="s">
        <v>218</v>
      </c>
      <c r="T43" s="36" t="s">
        <v>219</v>
      </c>
      <c r="U43" s="36" t="s">
        <v>10</v>
      </c>
      <c r="V43" s="36" t="s">
        <v>348</v>
      </c>
      <c r="W43" s="36" t="s">
        <v>220</v>
      </c>
      <c r="X43" s="36" t="s">
        <v>221</v>
      </c>
    </row>
    <row r="44" spans="1:24" s="36" customFormat="1" x14ac:dyDescent="0.25">
      <c r="A44" s="61">
        <v>101</v>
      </c>
      <c r="B44" s="36" t="s">
        <v>99</v>
      </c>
      <c r="C44" s="36">
        <v>2024</v>
      </c>
      <c r="D44" s="36" t="s">
        <v>100</v>
      </c>
      <c r="E44" s="36" t="s">
        <v>323</v>
      </c>
      <c r="F44" s="49" t="s">
        <v>423</v>
      </c>
      <c r="G44" s="36" t="s">
        <v>89</v>
      </c>
      <c r="H44" s="36" t="s">
        <v>424</v>
      </c>
      <c r="I44" s="40">
        <v>5.0999999999999996</v>
      </c>
      <c r="J44" s="40">
        <v>4.7</v>
      </c>
      <c r="K44" s="40">
        <v>6.2</v>
      </c>
      <c r="L44" s="41"/>
      <c r="M44" s="41"/>
      <c r="N44" s="36" t="s">
        <v>91</v>
      </c>
      <c r="O44" s="36" t="s">
        <v>425</v>
      </c>
      <c r="P44" s="36">
        <v>8</v>
      </c>
      <c r="Q44" s="36">
        <v>37</v>
      </c>
      <c r="R44" s="36" t="s">
        <v>217</v>
      </c>
      <c r="S44" s="36" t="s">
        <v>218</v>
      </c>
      <c r="T44" s="36" t="s">
        <v>219</v>
      </c>
      <c r="U44" s="36" t="s">
        <v>10</v>
      </c>
      <c r="V44" s="36" t="s">
        <v>348</v>
      </c>
      <c r="W44" s="36" t="s">
        <v>220</v>
      </c>
      <c r="X44" s="36" t="s">
        <v>221</v>
      </c>
    </row>
    <row r="45" spans="1:24" s="36" customFormat="1" x14ac:dyDescent="0.25">
      <c r="A45" s="61">
        <v>102</v>
      </c>
      <c r="B45" s="36" t="s">
        <v>118</v>
      </c>
      <c r="C45" s="36">
        <v>2024</v>
      </c>
      <c r="D45" s="36" t="s">
        <v>119</v>
      </c>
      <c r="E45" s="36" t="s">
        <v>324</v>
      </c>
      <c r="F45" s="49" t="s">
        <v>136</v>
      </c>
      <c r="G45" s="36" t="s">
        <v>89</v>
      </c>
      <c r="H45" s="36" t="s">
        <v>137</v>
      </c>
      <c r="I45" s="40">
        <v>12.4</v>
      </c>
      <c r="J45" s="40">
        <v>11.2</v>
      </c>
      <c r="K45" s="40">
        <v>12.9</v>
      </c>
      <c r="L45" s="41"/>
      <c r="M45" s="41"/>
      <c r="N45" s="36" t="s">
        <v>91</v>
      </c>
      <c r="O45" s="36" t="s">
        <v>138</v>
      </c>
      <c r="P45" s="36">
        <v>4</v>
      </c>
      <c r="Q45" s="36">
        <v>25</v>
      </c>
      <c r="R45" s="36" t="s">
        <v>217</v>
      </c>
      <c r="S45" s="36" t="s">
        <v>218</v>
      </c>
      <c r="T45" s="36" t="s">
        <v>219</v>
      </c>
      <c r="U45" s="36">
        <v>0.5</v>
      </c>
      <c r="V45" s="36" t="s">
        <v>10</v>
      </c>
      <c r="W45" s="36" t="s">
        <v>220</v>
      </c>
      <c r="X45" s="36" t="s">
        <v>221</v>
      </c>
    </row>
    <row r="46" spans="1:24" s="13" customFormat="1" x14ac:dyDescent="0.25">
      <c r="A46" s="61">
        <v>103</v>
      </c>
      <c r="B46" s="36" t="s">
        <v>171</v>
      </c>
      <c r="C46" s="36">
        <v>2022</v>
      </c>
      <c r="D46" s="36" t="s">
        <v>172</v>
      </c>
      <c r="E46" s="36" t="s">
        <v>325</v>
      </c>
      <c r="F46" s="49" t="s">
        <v>131</v>
      </c>
      <c r="G46" s="36" t="s">
        <v>89</v>
      </c>
      <c r="H46" s="36" t="s">
        <v>132</v>
      </c>
      <c r="I46" s="40">
        <v>9.8000000000000007</v>
      </c>
      <c r="J46" s="40">
        <v>8.8000000000000007</v>
      </c>
      <c r="K46" s="40">
        <v>9.6</v>
      </c>
      <c r="L46" s="41"/>
      <c r="M46" s="41"/>
      <c r="N46" s="36" t="s">
        <v>91</v>
      </c>
      <c r="O46" s="36" t="s">
        <v>133</v>
      </c>
      <c r="P46" s="36">
        <v>8</v>
      </c>
      <c r="Q46" s="36">
        <v>30</v>
      </c>
      <c r="R46" s="36" t="s">
        <v>217</v>
      </c>
      <c r="S46" s="36" t="s">
        <v>218</v>
      </c>
      <c r="T46" s="36" t="s">
        <v>219</v>
      </c>
      <c r="U46" s="36" t="s">
        <v>10</v>
      </c>
      <c r="V46" s="36" t="s">
        <v>356</v>
      </c>
      <c r="W46" s="36" t="s">
        <v>220</v>
      </c>
      <c r="X46" s="36" t="s">
        <v>221</v>
      </c>
    </row>
    <row r="47" spans="1:24" s="36" customFormat="1" x14ac:dyDescent="0.25">
      <c r="A47" s="61">
        <v>104</v>
      </c>
      <c r="B47" s="36" t="s">
        <v>99</v>
      </c>
      <c r="C47" s="36">
        <v>2023</v>
      </c>
      <c r="D47" s="36" t="s">
        <v>327</v>
      </c>
      <c r="E47" s="36" t="s">
        <v>326</v>
      </c>
      <c r="F47" s="49" t="s">
        <v>136</v>
      </c>
      <c r="G47" s="36" t="s">
        <v>89</v>
      </c>
      <c r="H47" s="42" t="s">
        <v>137</v>
      </c>
      <c r="I47" s="40">
        <v>11.5</v>
      </c>
      <c r="J47" s="40">
        <v>10.5</v>
      </c>
      <c r="K47" s="40">
        <v>12.2</v>
      </c>
      <c r="L47" s="41"/>
      <c r="M47" s="41"/>
      <c r="N47" s="36" t="s">
        <v>91</v>
      </c>
      <c r="O47" s="36" t="s">
        <v>138</v>
      </c>
      <c r="P47" s="36">
        <v>10</v>
      </c>
      <c r="Q47" s="36">
        <v>30</v>
      </c>
      <c r="R47" s="36" t="s">
        <v>217</v>
      </c>
      <c r="S47" s="36" t="s">
        <v>218</v>
      </c>
      <c r="T47" s="36" t="s">
        <v>219</v>
      </c>
      <c r="U47" s="36" t="s">
        <v>10</v>
      </c>
      <c r="V47" s="36" t="s">
        <v>348</v>
      </c>
      <c r="W47" s="36" t="s">
        <v>220</v>
      </c>
      <c r="X47" s="36" t="s">
        <v>221</v>
      </c>
    </row>
    <row r="48" spans="1:24" s="36" customFormat="1" x14ac:dyDescent="0.25">
      <c r="A48" s="61">
        <v>105</v>
      </c>
      <c r="B48" s="36" t="s">
        <v>99</v>
      </c>
      <c r="C48" s="36">
        <v>2025</v>
      </c>
      <c r="D48" s="36" t="s">
        <v>329</v>
      </c>
      <c r="E48" s="36" t="s">
        <v>328</v>
      </c>
      <c r="F48" s="49" t="s">
        <v>407</v>
      </c>
      <c r="G48" s="36" t="s">
        <v>89</v>
      </c>
      <c r="H48" s="36" t="s">
        <v>426</v>
      </c>
      <c r="I48" s="40">
        <v>3.2</v>
      </c>
      <c r="J48" s="40">
        <v>3.1</v>
      </c>
      <c r="K48" s="40">
        <v>3.8</v>
      </c>
      <c r="L48" s="41"/>
      <c r="M48" s="41"/>
      <c r="N48" s="36" t="s">
        <v>199</v>
      </c>
      <c r="O48" s="36" t="s">
        <v>427</v>
      </c>
      <c r="P48" s="36">
        <v>12</v>
      </c>
      <c r="Q48" s="36">
        <v>37</v>
      </c>
      <c r="R48" s="36" t="s">
        <v>217</v>
      </c>
      <c r="S48" s="36" t="s">
        <v>218</v>
      </c>
      <c r="T48" s="36" t="s">
        <v>10</v>
      </c>
      <c r="U48" s="36">
        <v>0.5</v>
      </c>
      <c r="V48" s="36" t="s">
        <v>10</v>
      </c>
      <c r="W48" s="36" t="s">
        <v>220</v>
      </c>
      <c r="X48" s="36" t="s">
        <v>221</v>
      </c>
    </row>
    <row r="49" spans="1:25" s="36" customFormat="1" x14ac:dyDescent="0.25">
      <c r="A49" s="61">
        <v>107</v>
      </c>
      <c r="B49" s="36" t="s">
        <v>183</v>
      </c>
      <c r="C49" s="36">
        <v>2022</v>
      </c>
      <c r="D49" s="36" t="s">
        <v>331</v>
      </c>
      <c r="E49" s="36" t="s">
        <v>330</v>
      </c>
      <c r="F49" s="49" t="s">
        <v>408</v>
      </c>
      <c r="G49" s="36" t="s">
        <v>89</v>
      </c>
      <c r="H49" s="36" t="s">
        <v>429</v>
      </c>
      <c r="I49" s="40">
        <v>9.3000000000000007</v>
      </c>
      <c r="J49" s="40">
        <v>9</v>
      </c>
      <c r="K49" s="40">
        <v>8.8000000000000007</v>
      </c>
      <c r="L49" s="41"/>
      <c r="M49" s="41"/>
      <c r="N49" s="36" t="s">
        <v>91</v>
      </c>
      <c r="O49" s="36" t="s">
        <v>428</v>
      </c>
      <c r="P49" s="36">
        <v>12</v>
      </c>
      <c r="Q49" s="36">
        <v>37</v>
      </c>
      <c r="R49" s="36" t="s">
        <v>217</v>
      </c>
      <c r="S49" s="36" t="s">
        <v>218</v>
      </c>
      <c r="T49" s="36" t="s">
        <v>219</v>
      </c>
      <c r="U49" s="36">
        <v>0.5</v>
      </c>
      <c r="V49" s="36" t="s">
        <v>10</v>
      </c>
      <c r="W49" s="36" t="s">
        <v>220</v>
      </c>
      <c r="X49" s="36" t="s">
        <v>221</v>
      </c>
    </row>
    <row r="50" spans="1:25" s="13" customFormat="1" x14ac:dyDescent="0.25">
      <c r="A50" s="61">
        <v>110</v>
      </c>
      <c r="B50" s="36" t="s">
        <v>333</v>
      </c>
      <c r="C50" s="36">
        <v>2025</v>
      </c>
      <c r="D50" s="36" t="s">
        <v>334</v>
      </c>
      <c r="E50" s="36" t="s">
        <v>332</v>
      </c>
      <c r="F50" s="49" t="s">
        <v>136</v>
      </c>
      <c r="G50" s="36" t="s">
        <v>89</v>
      </c>
      <c r="H50" s="42" t="s">
        <v>137</v>
      </c>
      <c r="I50" s="40">
        <v>12.4</v>
      </c>
      <c r="J50" s="40">
        <v>11.2</v>
      </c>
      <c r="K50" s="40">
        <v>12.9</v>
      </c>
      <c r="L50" s="41"/>
      <c r="M50" s="41"/>
      <c r="N50" s="36" t="s">
        <v>91</v>
      </c>
      <c r="O50" s="36" t="s">
        <v>138</v>
      </c>
      <c r="P50" s="36">
        <v>12</v>
      </c>
      <c r="Q50" s="36">
        <v>37</v>
      </c>
      <c r="R50" s="36" t="s">
        <v>217</v>
      </c>
      <c r="S50" s="36" t="s">
        <v>218</v>
      </c>
      <c r="T50" s="36" t="s">
        <v>219</v>
      </c>
      <c r="U50" s="36">
        <v>0.85</v>
      </c>
      <c r="V50" s="36" t="s">
        <v>10</v>
      </c>
      <c r="W50" s="36" t="s">
        <v>220</v>
      </c>
      <c r="X50" s="36" t="s">
        <v>221</v>
      </c>
    </row>
    <row r="51" spans="1:25" s="36" customFormat="1" x14ac:dyDescent="0.25">
      <c r="A51" s="61">
        <v>112</v>
      </c>
      <c r="B51" s="36" t="s">
        <v>155</v>
      </c>
      <c r="C51" s="36">
        <v>2015</v>
      </c>
      <c r="D51" s="36" t="s">
        <v>207</v>
      </c>
      <c r="E51" s="36" t="s">
        <v>335</v>
      </c>
      <c r="F51" s="49" t="s">
        <v>409</v>
      </c>
      <c r="G51" s="36" t="s">
        <v>89</v>
      </c>
      <c r="H51" s="36" t="s">
        <v>413</v>
      </c>
      <c r="I51" s="40">
        <v>4.165</v>
      </c>
      <c r="J51" s="40">
        <v>3.5739999999999998</v>
      </c>
      <c r="K51" s="40">
        <v>4.3600000000000003</v>
      </c>
      <c r="L51" s="41"/>
      <c r="M51" s="41"/>
      <c r="N51" s="36" t="s">
        <v>91</v>
      </c>
      <c r="O51" s="36" t="s">
        <v>430</v>
      </c>
      <c r="P51" s="36">
        <v>12</v>
      </c>
      <c r="Q51" s="36">
        <v>30</v>
      </c>
      <c r="R51" s="36" t="s">
        <v>217</v>
      </c>
      <c r="S51" s="36" t="s">
        <v>218</v>
      </c>
      <c r="T51" s="36" t="s">
        <v>222</v>
      </c>
      <c r="U51" s="36" t="s">
        <v>10</v>
      </c>
      <c r="V51" s="36" t="s">
        <v>10</v>
      </c>
      <c r="W51" s="36" t="s">
        <v>368</v>
      </c>
      <c r="X51" s="36" t="s">
        <v>221</v>
      </c>
    </row>
    <row r="52" spans="1:25" s="36" customFormat="1" x14ac:dyDescent="0.25">
      <c r="A52" s="61">
        <v>117</v>
      </c>
      <c r="B52" s="36" t="s">
        <v>316</v>
      </c>
      <c r="C52" s="36">
        <v>2021</v>
      </c>
      <c r="D52" s="36" t="s">
        <v>317</v>
      </c>
      <c r="E52" s="36" t="s">
        <v>336</v>
      </c>
      <c r="F52" s="49" t="s">
        <v>102</v>
      </c>
      <c r="G52" s="36" t="s">
        <v>89</v>
      </c>
      <c r="H52" s="36" t="s">
        <v>103</v>
      </c>
      <c r="I52" s="40">
        <v>9.9879999999999995</v>
      </c>
      <c r="J52" s="40">
        <v>9.1910000000000007</v>
      </c>
      <c r="K52" s="40">
        <v>10.366</v>
      </c>
      <c r="L52" s="41"/>
      <c r="M52" s="41"/>
      <c r="N52" s="36" t="s">
        <v>91</v>
      </c>
      <c r="O52" s="36" t="s">
        <v>104</v>
      </c>
      <c r="P52" s="36">
        <v>8</v>
      </c>
      <c r="Q52" s="36">
        <v>35</v>
      </c>
      <c r="R52" s="36" t="s">
        <v>217</v>
      </c>
      <c r="S52" s="36" t="s">
        <v>218</v>
      </c>
      <c r="T52" s="36" t="s">
        <v>219</v>
      </c>
      <c r="U52" s="36" t="s">
        <v>10</v>
      </c>
      <c r="V52" s="36" t="s">
        <v>348</v>
      </c>
      <c r="W52" s="36" t="s">
        <v>220</v>
      </c>
      <c r="X52" s="36" t="s">
        <v>221</v>
      </c>
    </row>
    <row r="53" spans="1:25" x14ac:dyDescent="0.25">
      <c r="A53" s="61">
        <v>120</v>
      </c>
      <c r="B53" s="36" t="s">
        <v>337</v>
      </c>
      <c r="C53" s="36">
        <v>2024</v>
      </c>
      <c r="D53" s="36" t="s">
        <v>338</v>
      </c>
      <c r="E53" s="36" t="s">
        <v>515</v>
      </c>
      <c r="F53" s="49" t="s">
        <v>202</v>
      </c>
      <c r="G53" s="36" t="s">
        <v>89</v>
      </c>
      <c r="H53" s="36" t="s">
        <v>203</v>
      </c>
      <c r="I53" s="40">
        <v>9.6999999999999993</v>
      </c>
      <c r="J53" s="40">
        <v>9.1999999999999993</v>
      </c>
      <c r="K53" s="40">
        <v>11.6</v>
      </c>
      <c r="L53" s="41"/>
      <c r="M53" s="41"/>
      <c r="N53" s="36" t="s">
        <v>91</v>
      </c>
      <c r="O53" s="36" t="s">
        <v>204</v>
      </c>
      <c r="P53" s="36">
        <v>8</v>
      </c>
      <c r="Q53" s="36">
        <v>37</v>
      </c>
      <c r="R53" s="36" t="s">
        <v>217</v>
      </c>
      <c r="S53" s="36" t="s">
        <v>218</v>
      </c>
      <c r="T53" s="36" t="s">
        <v>219</v>
      </c>
      <c r="U53" s="36" t="s">
        <v>10</v>
      </c>
      <c r="V53" s="36" t="s">
        <v>10</v>
      </c>
      <c r="W53" s="36" t="s">
        <v>220</v>
      </c>
      <c r="X53" s="36" t="s">
        <v>221</v>
      </c>
    </row>
    <row r="54" spans="1:25" s="13" customFormat="1" x14ac:dyDescent="0.25">
      <c r="A54" s="61">
        <v>121</v>
      </c>
      <c r="B54" s="36" t="s">
        <v>339</v>
      </c>
      <c r="C54" s="36">
        <v>2024</v>
      </c>
      <c r="D54" s="36" t="s">
        <v>340</v>
      </c>
      <c r="E54" s="36" t="s">
        <v>516</v>
      </c>
      <c r="F54" s="49" t="s">
        <v>410</v>
      </c>
      <c r="G54" s="36" t="s">
        <v>89</v>
      </c>
      <c r="H54" s="36" t="s">
        <v>413</v>
      </c>
      <c r="I54" s="40">
        <v>8.1999999999999993</v>
      </c>
      <c r="J54" s="40">
        <v>7.6</v>
      </c>
      <c r="K54" s="40">
        <v>8.1</v>
      </c>
      <c r="L54" s="41"/>
      <c r="M54" s="41"/>
      <c r="N54" s="36" t="s">
        <v>91</v>
      </c>
      <c r="O54" s="36" t="s">
        <v>431</v>
      </c>
      <c r="P54" s="36">
        <v>8</v>
      </c>
      <c r="Q54" s="36">
        <v>30</v>
      </c>
      <c r="R54" s="36" t="s">
        <v>217</v>
      </c>
      <c r="S54" s="36" t="s">
        <v>218</v>
      </c>
      <c r="T54" s="36" t="s">
        <v>222</v>
      </c>
      <c r="U54" s="36" t="s">
        <v>10</v>
      </c>
      <c r="V54" s="36" t="s">
        <v>357</v>
      </c>
      <c r="W54" s="36" t="s">
        <v>220</v>
      </c>
      <c r="X54" s="36" t="s">
        <v>221</v>
      </c>
    </row>
    <row r="55" spans="1:25" x14ac:dyDescent="0.25">
      <c r="A55" s="61">
        <v>124</v>
      </c>
      <c r="B55" s="36" t="s">
        <v>155</v>
      </c>
      <c r="C55" s="36">
        <v>2021</v>
      </c>
      <c r="D55" s="36" t="s">
        <v>341</v>
      </c>
      <c r="E55" s="36" t="s">
        <v>517</v>
      </c>
      <c r="F55" s="49" t="s">
        <v>417</v>
      </c>
      <c r="G55" s="36" t="s">
        <v>89</v>
      </c>
      <c r="H55" s="36" t="s">
        <v>190</v>
      </c>
      <c r="I55" s="40">
        <v>11.217000000000001</v>
      </c>
      <c r="J55" s="40">
        <v>10.728999999999999</v>
      </c>
      <c r="K55" s="40">
        <v>13.214</v>
      </c>
      <c r="L55" s="41"/>
      <c r="M55" s="41"/>
      <c r="N55" s="36" t="s">
        <v>91</v>
      </c>
      <c r="O55" s="36" t="s">
        <v>189</v>
      </c>
      <c r="P55" s="36">
        <v>8</v>
      </c>
      <c r="Q55" s="36">
        <v>25</v>
      </c>
      <c r="R55" s="36" t="s">
        <v>217</v>
      </c>
      <c r="S55" s="36" t="s">
        <v>218</v>
      </c>
      <c r="T55" s="36" t="s">
        <v>219</v>
      </c>
      <c r="U55" s="36" t="s">
        <v>10</v>
      </c>
      <c r="V55" s="36" t="s">
        <v>348</v>
      </c>
      <c r="W55" s="36" t="s">
        <v>220</v>
      </c>
      <c r="X55" s="36" t="s">
        <v>221</v>
      </c>
    </row>
    <row r="56" spans="1:25" x14ac:dyDescent="0.25">
      <c r="A56" s="61">
        <v>127</v>
      </c>
      <c r="B56" s="36" t="s">
        <v>85</v>
      </c>
      <c r="C56" s="36">
        <v>2022</v>
      </c>
      <c r="D56" s="36" t="s">
        <v>343</v>
      </c>
      <c r="E56" s="36" t="s">
        <v>342</v>
      </c>
      <c r="F56" s="49" t="s">
        <v>131</v>
      </c>
      <c r="G56" s="36" t="s">
        <v>89</v>
      </c>
      <c r="H56" s="36" t="s">
        <v>132</v>
      </c>
      <c r="I56" s="40">
        <v>8.1999999999999993</v>
      </c>
      <c r="J56" s="40">
        <v>7.3</v>
      </c>
      <c r="K56" s="40">
        <v>8.6</v>
      </c>
      <c r="L56" s="41"/>
      <c r="M56" s="41"/>
      <c r="N56" s="36" t="s">
        <v>91</v>
      </c>
      <c r="O56" s="36" t="s">
        <v>133</v>
      </c>
      <c r="P56" s="36">
        <v>15</v>
      </c>
      <c r="Q56" s="36">
        <v>37</v>
      </c>
      <c r="R56" s="36" t="s">
        <v>217</v>
      </c>
      <c r="S56" s="36" t="s">
        <v>218</v>
      </c>
      <c r="T56" s="36" t="s">
        <v>219</v>
      </c>
      <c r="U56" s="36">
        <v>0.5</v>
      </c>
      <c r="V56" s="36" t="s">
        <v>10</v>
      </c>
      <c r="W56" s="36" t="s">
        <v>220</v>
      </c>
      <c r="X56" s="36" t="s">
        <v>10</v>
      </c>
    </row>
    <row r="57" spans="1:25" x14ac:dyDescent="0.25">
      <c r="A57" s="61">
        <v>130</v>
      </c>
      <c r="B57" s="36" t="s">
        <v>155</v>
      </c>
      <c r="C57" s="36">
        <v>2024</v>
      </c>
      <c r="D57" s="36" t="s">
        <v>346</v>
      </c>
      <c r="E57" s="36" t="s">
        <v>345</v>
      </c>
      <c r="F57" s="49" t="s">
        <v>411</v>
      </c>
      <c r="G57" s="36" t="s">
        <v>89</v>
      </c>
      <c r="H57" s="36" t="s">
        <v>433</v>
      </c>
      <c r="I57" s="40">
        <v>7.3</v>
      </c>
      <c r="J57" s="40">
        <v>7.2</v>
      </c>
      <c r="K57" s="40">
        <v>6.2</v>
      </c>
      <c r="L57" s="41"/>
      <c r="M57" s="41"/>
      <c r="N57" s="36" t="s">
        <v>91</v>
      </c>
      <c r="O57" s="36" t="s">
        <v>432</v>
      </c>
      <c r="P57" s="36">
        <v>6</v>
      </c>
      <c r="Q57" s="36">
        <v>37</v>
      </c>
      <c r="R57" s="36" t="s">
        <v>217</v>
      </c>
      <c r="S57" s="36" t="s">
        <v>218</v>
      </c>
      <c r="T57" s="36" t="s">
        <v>219</v>
      </c>
      <c r="U57" s="36" t="s">
        <v>10</v>
      </c>
      <c r="V57" s="36" t="s">
        <v>348</v>
      </c>
      <c r="W57" s="36" t="s">
        <v>220</v>
      </c>
      <c r="X57" s="36" t="s">
        <v>221</v>
      </c>
    </row>
    <row r="58" spans="1:25" s="36" customFormat="1" x14ac:dyDescent="0.25">
      <c r="A58" s="61">
        <v>131</v>
      </c>
      <c r="B58" s="36" t="s">
        <v>99</v>
      </c>
      <c r="C58" s="36">
        <v>2025</v>
      </c>
      <c r="D58" s="36" t="s">
        <v>329</v>
      </c>
      <c r="E58" s="36" t="s">
        <v>347</v>
      </c>
      <c r="F58" s="62" t="s">
        <v>96</v>
      </c>
      <c r="G58" s="36" t="s">
        <v>89</v>
      </c>
      <c r="H58" s="36" t="s">
        <v>97</v>
      </c>
      <c r="I58" s="40">
        <v>11.3</v>
      </c>
      <c r="J58" s="40">
        <v>10.1</v>
      </c>
      <c r="K58" s="40">
        <v>12.4</v>
      </c>
      <c r="L58" s="41"/>
      <c r="M58" s="41"/>
      <c r="N58" s="36" t="s">
        <v>91</v>
      </c>
      <c r="O58" s="36" t="s">
        <v>98</v>
      </c>
      <c r="P58" s="36">
        <v>4</v>
      </c>
      <c r="Q58" s="36">
        <v>37</v>
      </c>
      <c r="R58" s="36" t="s">
        <v>217</v>
      </c>
      <c r="S58" s="36" t="s">
        <v>218</v>
      </c>
      <c r="T58" s="36" t="s">
        <v>219</v>
      </c>
      <c r="U58" s="36">
        <v>0.5</v>
      </c>
      <c r="V58" s="36" t="s">
        <v>348</v>
      </c>
      <c r="W58" s="36" t="s">
        <v>220</v>
      </c>
      <c r="X58" s="36" t="s">
        <v>221</v>
      </c>
    </row>
    <row r="59" spans="1:25" s="41" customFormat="1" x14ac:dyDescent="0.25">
      <c r="A59" s="61">
        <v>134</v>
      </c>
      <c r="B59" s="36" t="s">
        <v>195</v>
      </c>
      <c r="C59" s="36">
        <v>2025</v>
      </c>
      <c r="D59" s="36"/>
      <c r="E59" s="36" t="s">
        <v>490</v>
      </c>
      <c r="F59" s="49"/>
      <c r="G59" s="36"/>
      <c r="H59" s="36"/>
      <c r="I59" s="40"/>
      <c r="J59" s="40"/>
      <c r="K59" s="40"/>
      <c r="N59" s="36"/>
      <c r="O59" s="36"/>
      <c r="P59" s="87">
        <v>20</v>
      </c>
      <c r="Q59" s="87">
        <v>37</v>
      </c>
      <c r="R59" s="36" t="s">
        <v>217</v>
      </c>
      <c r="S59" s="36" t="s">
        <v>218</v>
      </c>
      <c r="T59" s="36" t="s">
        <v>219</v>
      </c>
      <c r="U59" s="36">
        <v>0.6</v>
      </c>
      <c r="V59" s="36" t="s">
        <v>221</v>
      </c>
      <c r="W59" s="36" t="s">
        <v>220</v>
      </c>
      <c r="X59" s="36" t="s">
        <v>221</v>
      </c>
      <c r="Y59" s="36"/>
    </row>
    <row r="60" spans="1:25" s="41" customFormat="1" x14ac:dyDescent="0.25">
      <c r="A60" s="61">
        <v>135</v>
      </c>
      <c r="B60" s="36" t="s">
        <v>171</v>
      </c>
      <c r="C60" s="36">
        <v>2025</v>
      </c>
      <c r="D60" s="36"/>
      <c r="E60" s="75" t="s">
        <v>439</v>
      </c>
      <c r="F60" s="49"/>
      <c r="G60" s="36"/>
      <c r="H60" s="36"/>
      <c r="I60" s="40"/>
      <c r="J60" s="40"/>
      <c r="K60" s="40"/>
      <c r="N60" s="36"/>
      <c r="O60" s="36"/>
      <c r="P60" s="36">
        <v>12</v>
      </c>
      <c r="Q60" s="36">
        <v>37</v>
      </c>
      <c r="R60" s="36" t="s">
        <v>217</v>
      </c>
      <c r="S60" s="36" t="s">
        <v>218</v>
      </c>
      <c r="T60" s="36" t="s">
        <v>219</v>
      </c>
      <c r="U60" s="36">
        <v>0.3</v>
      </c>
      <c r="V60" s="36" t="s">
        <v>10</v>
      </c>
      <c r="W60" s="36" t="s">
        <v>220</v>
      </c>
      <c r="X60" s="36" t="s">
        <v>221</v>
      </c>
      <c r="Y60" s="36"/>
    </row>
    <row r="61" spans="1:25" s="36" customFormat="1" x14ac:dyDescent="0.25">
      <c r="A61" s="61">
        <v>137</v>
      </c>
      <c r="B61" s="36" t="s">
        <v>171</v>
      </c>
      <c r="C61" s="36">
        <v>2025</v>
      </c>
      <c r="E61" s="63" t="s">
        <v>451</v>
      </c>
      <c r="F61" s="49"/>
      <c r="I61" s="40"/>
      <c r="J61" s="40"/>
      <c r="K61" s="40"/>
      <c r="L61" s="41"/>
      <c r="M61" s="41"/>
      <c r="P61" s="36">
        <v>16</v>
      </c>
      <c r="Q61" s="36">
        <v>37</v>
      </c>
      <c r="R61" s="36" t="s">
        <v>217</v>
      </c>
      <c r="S61" s="36" t="s">
        <v>218</v>
      </c>
      <c r="T61" s="36" t="s">
        <v>222</v>
      </c>
      <c r="V61" s="36" t="s">
        <v>453</v>
      </c>
      <c r="W61" s="36" t="s">
        <v>220</v>
      </c>
      <c r="X61" s="36" t="s">
        <v>221</v>
      </c>
    </row>
    <row r="62" spans="1:25" s="36" customFormat="1" x14ac:dyDescent="0.25">
      <c r="A62" s="61">
        <v>138</v>
      </c>
      <c r="B62" s="36" t="s">
        <v>111</v>
      </c>
      <c r="C62" s="36">
        <v>2022</v>
      </c>
      <c r="E62" s="75" t="s">
        <v>441</v>
      </c>
      <c r="F62" s="49"/>
      <c r="I62" s="40"/>
      <c r="J62" s="40"/>
      <c r="K62" s="40"/>
      <c r="L62" s="41"/>
      <c r="M62" s="41"/>
      <c r="P62" s="36">
        <v>18</v>
      </c>
      <c r="Q62" s="36">
        <v>25</v>
      </c>
      <c r="R62" s="36" t="s">
        <v>217</v>
      </c>
      <c r="S62" s="36" t="s">
        <v>218</v>
      </c>
      <c r="T62" s="36" t="s">
        <v>219</v>
      </c>
      <c r="U62" s="36" t="s">
        <v>10</v>
      </c>
      <c r="V62" s="36" t="s">
        <v>348</v>
      </c>
      <c r="W62" s="36" t="s">
        <v>220</v>
      </c>
      <c r="X62" s="36" t="s">
        <v>221</v>
      </c>
    </row>
    <row r="63" spans="1:25" s="36" customFormat="1" x14ac:dyDescent="0.25">
      <c r="A63" s="61">
        <v>140</v>
      </c>
      <c r="B63" s="36" t="s">
        <v>128</v>
      </c>
      <c r="C63" s="36">
        <v>2025</v>
      </c>
      <c r="E63" s="75" t="s">
        <v>442</v>
      </c>
      <c r="F63" s="49"/>
      <c r="I63" s="40"/>
      <c r="J63" s="40"/>
      <c r="K63" s="40"/>
      <c r="L63" s="41"/>
      <c r="M63" s="41"/>
      <c r="P63" s="36">
        <v>6</v>
      </c>
      <c r="Q63" s="36">
        <v>37</v>
      </c>
      <c r="R63" s="36" t="s">
        <v>217</v>
      </c>
      <c r="S63" s="36" t="s">
        <v>218</v>
      </c>
      <c r="T63" s="36" t="s">
        <v>219</v>
      </c>
      <c r="U63" s="36">
        <v>1</v>
      </c>
      <c r="V63" s="36" t="s">
        <v>348</v>
      </c>
      <c r="W63" s="36" t="s">
        <v>220</v>
      </c>
      <c r="X63" s="36" t="s">
        <v>221</v>
      </c>
    </row>
    <row r="64" spans="1:25" s="36" customFormat="1" x14ac:dyDescent="0.25">
      <c r="A64" s="61">
        <v>141</v>
      </c>
      <c r="B64" s="36" t="s">
        <v>128</v>
      </c>
      <c r="C64" s="36">
        <v>2024</v>
      </c>
      <c r="E64" s="36" t="s">
        <v>344</v>
      </c>
      <c r="F64" s="49"/>
      <c r="I64" s="40"/>
      <c r="J64" s="40"/>
      <c r="K64" s="40"/>
      <c r="L64" s="41"/>
      <c r="M64" s="41"/>
      <c r="P64" s="36">
        <v>15</v>
      </c>
      <c r="Q64" s="36">
        <v>37</v>
      </c>
      <c r="R64" s="36" t="s">
        <v>217</v>
      </c>
      <c r="S64" s="36" t="s">
        <v>218</v>
      </c>
      <c r="T64" s="36" t="s">
        <v>219</v>
      </c>
      <c r="U64" s="36">
        <v>0.5</v>
      </c>
      <c r="V64" s="36" t="s">
        <v>443</v>
      </c>
      <c r="W64" s="36" t="s">
        <v>220</v>
      </c>
      <c r="X64" s="36" t="s">
        <v>221</v>
      </c>
    </row>
    <row r="65" spans="1:24" s="36" customFormat="1" x14ac:dyDescent="0.25">
      <c r="A65" s="61">
        <v>144</v>
      </c>
      <c r="B65" s="36" t="s">
        <v>180</v>
      </c>
      <c r="C65" s="36">
        <v>2025</v>
      </c>
      <c r="E65" s="75" t="s">
        <v>446</v>
      </c>
      <c r="F65" s="49"/>
      <c r="I65" s="40"/>
      <c r="J65" s="40"/>
      <c r="K65" s="40"/>
      <c r="L65" s="41"/>
      <c r="M65" s="41"/>
      <c r="P65" s="36">
        <v>72</v>
      </c>
      <c r="Q65" s="36">
        <v>37</v>
      </c>
      <c r="R65" s="36" t="s">
        <v>445</v>
      </c>
      <c r="S65" s="36" t="s">
        <v>218</v>
      </c>
      <c r="T65" s="36" t="s">
        <v>10</v>
      </c>
      <c r="U65" s="36" t="s">
        <v>10</v>
      </c>
      <c r="V65" s="36" t="s">
        <v>10</v>
      </c>
      <c r="W65" s="36" t="s">
        <v>220</v>
      </c>
      <c r="X65" s="36" t="s">
        <v>221</v>
      </c>
    </row>
    <row r="66" spans="1:24" s="36" customFormat="1" x14ac:dyDescent="0.25">
      <c r="A66" s="61">
        <v>146</v>
      </c>
      <c r="B66" s="36" t="s">
        <v>448</v>
      </c>
      <c r="C66" s="36">
        <v>2023</v>
      </c>
      <c r="E66" s="75" t="s">
        <v>447</v>
      </c>
      <c r="F66" s="49"/>
      <c r="I66" s="40"/>
      <c r="J66" s="40"/>
      <c r="K66" s="40"/>
      <c r="L66" s="41"/>
      <c r="M66" s="41"/>
      <c r="P66" s="36">
        <v>8</v>
      </c>
      <c r="Q66" s="36">
        <v>37</v>
      </c>
      <c r="R66" s="36" t="s">
        <v>217</v>
      </c>
      <c r="S66" s="36" t="s">
        <v>218</v>
      </c>
      <c r="T66" s="36" t="s">
        <v>219</v>
      </c>
      <c r="U66" s="36" t="s">
        <v>10</v>
      </c>
      <c r="V66" s="36" t="s">
        <v>348</v>
      </c>
      <c r="W66" s="36" t="s">
        <v>220</v>
      </c>
      <c r="X66" s="36" t="s">
        <v>221</v>
      </c>
    </row>
    <row r="67" spans="1:24" s="36" customFormat="1" x14ac:dyDescent="0.25">
      <c r="A67" s="61">
        <v>149</v>
      </c>
      <c r="B67" s="36" t="s">
        <v>118</v>
      </c>
      <c r="C67" s="36">
        <v>2025</v>
      </c>
      <c r="E67" s="36" t="s">
        <v>455</v>
      </c>
      <c r="F67" s="49" t="s">
        <v>454</v>
      </c>
      <c r="I67" s="40"/>
      <c r="J67" s="40"/>
      <c r="K67" s="40"/>
      <c r="L67" s="41"/>
      <c r="M67" s="41"/>
      <c r="P67" s="36">
        <v>4</v>
      </c>
      <c r="Q67" s="87">
        <v>25</v>
      </c>
      <c r="R67" s="36" t="s">
        <v>217</v>
      </c>
      <c r="S67" s="36" t="s">
        <v>218</v>
      </c>
      <c r="T67" s="36" t="s">
        <v>219</v>
      </c>
      <c r="U67" s="36">
        <v>0.5</v>
      </c>
      <c r="V67" s="36" t="s">
        <v>348</v>
      </c>
      <c r="W67" s="36" t="s">
        <v>220</v>
      </c>
      <c r="X67" s="36" t="s">
        <v>221</v>
      </c>
    </row>
    <row r="68" spans="1:24" s="36" customFormat="1" x14ac:dyDescent="0.25">
      <c r="A68" s="61">
        <v>151</v>
      </c>
      <c r="B68" s="36" t="s">
        <v>456</v>
      </c>
      <c r="C68" s="36">
        <v>2022</v>
      </c>
      <c r="E68" s="36" t="s">
        <v>457</v>
      </c>
      <c r="F68" s="49"/>
      <c r="I68" s="40"/>
      <c r="J68" s="40"/>
      <c r="K68" s="40"/>
      <c r="L68" s="41"/>
      <c r="M68" s="41"/>
      <c r="P68" s="36">
        <v>0.3</v>
      </c>
      <c r="Q68" s="36">
        <v>25</v>
      </c>
      <c r="R68" s="36" t="s">
        <v>217</v>
      </c>
      <c r="S68" s="36" t="s">
        <v>218</v>
      </c>
      <c r="T68" s="36" t="s">
        <v>10</v>
      </c>
      <c r="U68" s="36" t="s">
        <v>10</v>
      </c>
      <c r="V68" s="36" t="s">
        <v>348</v>
      </c>
      <c r="W68" s="36" t="s">
        <v>458</v>
      </c>
      <c r="X68" s="36" t="s">
        <v>221</v>
      </c>
    </row>
    <row r="69" spans="1:24" s="36" customFormat="1" x14ac:dyDescent="0.25">
      <c r="A69" s="61" t="s">
        <v>469</v>
      </c>
      <c r="B69" s="36" t="s">
        <v>274</v>
      </c>
      <c r="C69" s="36">
        <v>2025</v>
      </c>
      <c r="E69" s="36" t="s">
        <v>460</v>
      </c>
      <c r="F69" s="49"/>
      <c r="I69" s="40"/>
      <c r="J69" s="40"/>
      <c r="K69" s="40"/>
      <c r="L69" s="41"/>
      <c r="M69" s="41"/>
      <c r="P69" s="36">
        <v>24</v>
      </c>
      <c r="Q69" s="36">
        <v>37</v>
      </c>
      <c r="R69" s="36" t="s">
        <v>217</v>
      </c>
      <c r="S69" s="36" t="s">
        <v>218</v>
      </c>
      <c r="T69" s="36" t="s">
        <v>464</v>
      </c>
      <c r="U69" s="36" t="s">
        <v>10</v>
      </c>
      <c r="V69" s="36" t="s">
        <v>463</v>
      </c>
      <c r="W69" s="36" t="s">
        <v>220</v>
      </c>
      <c r="X69" s="36" t="s">
        <v>221</v>
      </c>
    </row>
    <row r="70" spans="1:24" s="36" customFormat="1" x14ac:dyDescent="0.25">
      <c r="A70" s="61" t="s">
        <v>470</v>
      </c>
      <c r="B70" s="36" t="s">
        <v>274</v>
      </c>
      <c r="C70" s="36">
        <v>2025</v>
      </c>
      <c r="E70" s="36" t="s">
        <v>460</v>
      </c>
      <c r="F70" s="49"/>
      <c r="I70" s="40"/>
      <c r="J70" s="40"/>
      <c r="K70" s="40"/>
      <c r="L70" s="41"/>
      <c r="M70" s="41"/>
      <c r="P70" s="36">
        <v>12</v>
      </c>
      <c r="Q70" s="36">
        <v>37</v>
      </c>
      <c r="R70" s="36" t="s">
        <v>217</v>
      </c>
      <c r="S70" s="36" t="s">
        <v>218</v>
      </c>
      <c r="T70" s="36" t="s">
        <v>464</v>
      </c>
      <c r="U70" s="36" t="s">
        <v>10</v>
      </c>
      <c r="V70" s="36" t="s">
        <v>463</v>
      </c>
      <c r="W70" s="36" t="s">
        <v>220</v>
      </c>
      <c r="X70" s="36" t="s">
        <v>221</v>
      </c>
    </row>
    <row r="71" spans="1:24" s="36" customFormat="1" x14ac:dyDescent="0.25">
      <c r="A71" s="61">
        <v>156</v>
      </c>
      <c r="B71" s="36" t="s">
        <v>472</v>
      </c>
      <c r="C71" s="36">
        <v>2023</v>
      </c>
      <c r="E71" s="75" t="s">
        <v>471</v>
      </c>
      <c r="F71" s="49"/>
      <c r="I71" s="40"/>
      <c r="J71" s="40"/>
      <c r="K71" s="40"/>
      <c r="L71" s="41"/>
      <c r="M71" s="41"/>
      <c r="P71" s="36">
        <v>15</v>
      </c>
      <c r="Q71" s="36">
        <v>37</v>
      </c>
      <c r="R71" s="36" t="s">
        <v>217</v>
      </c>
      <c r="S71" s="36" t="s">
        <v>218</v>
      </c>
      <c r="T71" s="36" t="s">
        <v>222</v>
      </c>
      <c r="U71" s="36">
        <v>0.5</v>
      </c>
      <c r="V71" s="36" t="s">
        <v>10</v>
      </c>
      <c r="W71" s="36" t="s">
        <v>220</v>
      </c>
      <c r="X71" s="36" t="s">
        <v>221</v>
      </c>
    </row>
    <row r="72" spans="1:24" s="36" customFormat="1" x14ac:dyDescent="0.25">
      <c r="A72" s="61">
        <v>157</v>
      </c>
      <c r="B72" s="36" t="s">
        <v>472</v>
      </c>
      <c r="C72" s="36">
        <v>2024</v>
      </c>
      <c r="E72" s="75" t="s">
        <v>494</v>
      </c>
      <c r="F72" s="49"/>
      <c r="I72" s="40"/>
      <c r="J72" s="40"/>
      <c r="K72" s="40"/>
      <c r="L72" s="41"/>
      <c r="M72" s="41"/>
      <c r="P72" s="36">
        <v>15</v>
      </c>
      <c r="Q72" s="36">
        <v>37</v>
      </c>
      <c r="R72" s="36" t="s">
        <v>217</v>
      </c>
      <c r="S72" s="36" t="s">
        <v>218</v>
      </c>
      <c r="T72" s="36" t="s">
        <v>222</v>
      </c>
      <c r="U72" s="36">
        <v>0.5</v>
      </c>
      <c r="V72" s="36" t="s">
        <v>10</v>
      </c>
      <c r="W72" s="36" t="s">
        <v>220</v>
      </c>
      <c r="X72" s="36" t="s">
        <v>221</v>
      </c>
    </row>
    <row r="73" spans="1:24" s="36" customFormat="1" x14ac:dyDescent="0.25">
      <c r="A73" s="61">
        <v>158</v>
      </c>
      <c r="B73" s="36" t="s">
        <v>174</v>
      </c>
      <c r="C73" s="36">
        <v>2025</v>
      </c>
      <c r="E73" s="36" t="s">
        <v>514</v>
      </c>
      <c r="F73" s="49"/>
      <c r="I73" s="40"/>
      <c r="J73" s="40"/>
      <c r="K73" s="40"/>
      <c r="L73" s="41"/>
      <c r="M73" s="41"/>
      <c r="P73" s="36">
        <v>16</v>
      </c>
      <c r="Q73" s="36">
        <v>37</v>
      </c>
      <c r="R73" s="36" t="s">
        <v>217</v>
      </c>
      <c r="S73" s="36" t="s">
        <v>218</v>
      </c>
      <c r="T73" s="36" t="s">
        <v>10</v>
      </c>
      <c r="U73" s="36" t="s">
        <v>10</v>
      </c>
      <c r="V73" s="36" t="s">
        <v>348</v>
      </c>
      <c r="W73" s="36" t="s">
        <v>220</v>
      </c>
      <c r="X73" s="36" t="s">
        <v>221</v>
      </c>
    </row>
    <row r="74" spans="1:24" s="36" customFormat="1" x14ac:dyDescent="0.25">
      <c r="A74" s="61">
        <v>159</v>
      </c>
      <c r="B74" s="36" t="s">
        <v>155</v>
      </c>
      <c r="C74" s="36">
        <v>2023</v>
      </c>
      <c r="E74" s="36" t="s">
        <v>521</v>
      </c>
      <c r="F74" s="49"/>
      <c r="I74" s="40"/>
      <c r="J74" s="40"/>
      <c r="K74" s="40"/>
      <c r="L74" s="41"/>
      <c r="M74" s="41"/>
      <c r="P74" s="36">
        <v>8</v>
      </c>
      <c r="Q74" s="36">
        <v>37</v>
      </c>
      <c r="R74" s="36" t="s">
        <v>217</v>
      </c>
      <c r="S74" s="92" t="s">
        <v>219</v>
      </c>
      <c r="T74" s="36" t="s">
        <v>10</v>
      </c>
      <c r="U74" s="36" t="s">
        <v>10</v>
      </c>
      <c r="V74" s="36" t="s">
        <v>10</v>
      </c>
      <c r="W74" s="36" t="s">
        <v>220</v>
      </c>
      <c r="X74" s="36" t="s">
        <v>221</v>
      </c>
    </row>
    <row r="86" spans="8:11" x14ac:dyDescent="0.25">
      <c r="H86" s="14" t="s">
        <v>436</v>
      </c>
      <c r="I86" s="38">
        <f>MIN(I2:I58)</f>
        <v>3.056</v>
      </c>
      <c r="J86" s="38">
        <f>MIN(J2:J58)</f>
        <v>2.6280000000000001</v>
      </c>
      <c r="K86" s="38">
        <f>MIN(K2:K58)</f>
        <v>3.306</v>
      </c>
    </row>
    <row r="87" spans="8:11" x14ac:dyDescent="0.25">
      <c r="H87" s="14" t="s">
        <v>437</v>
      </c>
      <c r="I87" s="38">
        <f>MAX(I2:I58)</f>
        <v>15.7</v>
      </c>
      <c r="J87" s="38">
        <f>MAX(J2:J58)</f>
        <v>15.1</v>
      </c>
      <c r="K87" s="38">
        <f>MAX(K2:K58)</f>
        <v>19.399999999999999</v>
      </c>
    </row>
  </sheetData>
  <conditionalFormatting sqref="O28">
    <cfRule type="colorScale" priority="6">
      <colorScale>
        <cfvo type="min"/>
        <cfvo type="max"/>
        <color rgb="FFFCFCFF"/>
        <color rgb="FFF8696B"/>
      </colorScale>
    </cfRule>
  </conditionalFormatting>
  <conditionalFormatting sqref="M1">
    <cfRule type="colorScale" priority="7">
      <colorScale>
        <cfvo type="min"/>
        <cfvo type="max"/>
        <color rgb="FFFCFCFF"/>
        <color rgb="FFF8696B"/>
      </colorScale>
    </cfRule>
  </conditionalFormatting>
  <conditionalFormatting sqref="M28:N28 N30 N32 N34 N36 N38 N40">
    <cfRule type="colorScale" priority="8">
      <colorScale>
        <cfvo type="min"/>
        <cfvo type="max"/>
        <color rgb="FFFCFCFF"/>
        <color rgb="FFF8696B"/>
      </colorScale>
    </cfRule>
  </conditionalFormatting>
  <conditionalFormatting sqref="I61:I1048576 I1:I58">
    <cfRule type="colorScale" priority="5">
      <colorScale>
        <cfvo type="min"/>
        <cfvo type="max"/>
        <color theme="0" tint="-4.9989318521683403E-2"/>
        <color rgb="FFEB7E9A"/>
      </colorScale>
    </cfRule>
  </conditionalFormatting>
  <conditionalFormatting sqref="J61:J1048576 J1:J58">
    <cfRule type="colorScale" priority="4">
      <colorScale>
        <cfvo type="min"/>
        <cfvo type="max"/>
        <color theme="0" tint="-4.9989318521683403E-2"/>
        <color rgb="FFEB7E9A"/>
      </colorScale>
    </cfRule>
  </conditionalFormatting>
  <conditionalFormatting sqref="K61:K1048576 K1:K58">
    <cfRule type="colorScale" priority="3">
      <colorScale>
        <cfvo type="min"/>
        <cfvo type="max"/>
        <color theme="0" tint="-4.9989318521683403E-2"/>
        <color rgb="FFEB7E9A"/>
      </colorScale>
    </cfRule>
  </conditionalFormatting>
  <conditionalFormatting sqref="L1:L1048576">
    <cfRule type="colorScale" priority="2">
      <colorScale>
        <cfvo type="min"/>
        <cfvo type="max"/>
        <color theme="0" tint="-4.9989318521683403E-2"/>
        <color theme="8"/>
      </colorScale>
    </cfRule>
  </conditionalFormatting>
  <conditionalFormatting sqref="M1:M1048576">
    <cfRule type="colorScale" priority="1">
      <colorScale>
        <cfvo type="min"/>
        <cfvo type="max"/>
        <color theme="0" tint="-4.9989318521683403E-2"/>
        <color theme="8"/>
      </colorScale>
    </cfRule>
  </conditionalFormatting>
  <conditionalFormatting sqref="L60:L1048576 L56:L57 L38:L40 L42:L43 L1:L36">
    <cfRule type="colorScale" priority="10">
      <colorScale>
        <cfvo type="min"/>
        <cfvo type="max"/>
        <color rgb="FFFCFCFF"/>
        <color rgb="FFF8696B"/>
      </colorScale>
    </cfRule>
  </conditionalFormatting>
  <conditionalFormatting sqref="M60:M1048576 M56:M57 M38:M40 M29:M36 M42:M43 M1:M27">
    <cfRule type="colorScale" priority="11">
      <colorScale>
        <cfvo type="min"/>
        <cfvo type="max"/>
        <color rgb="FFFCFCFF"/>
        <color rgb="FFF8696B"/>
      </colorScale>
    </cfRule>
  </conditionalFormatting>
  <conditionalFormatting sqref="M60:M1048576 M56:M57 M38:M40 M42:M43 M1:M36">
    <cfRule type="colorScale" priority="12">
      <colorScale>
        <cfvo type="min"/>
        <cfvo type="max"/>
        <color rgb="FFFCFCFF"/>
        <color rgb="FFF8696B"/>
      </colorScale>
    </cfRule>
  </conditionalFormatting>
  <conditionalFormatting sqref="M2:M27">
    <cfRule type="colorScale" priority="52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9AA4-CD6B-F44B-93E4-01BDB5E4CBBA}">
  <dimension ref="A1:L1458"/>
  <sheetViews>
    <sheetView topLeftCell="A92" zoomScale="106" zoomScaleNormal="80" workbookViewId="0">
      <selection activeCell="B114" sqref="B114"/>
    </sheetView>
  </sheetViews>
  <sheetFormatPr baseColWidth="10" defaultRowHeight="16" x14ac:dyDescent="0.2"/>
  <cols>
    <col min="1" max="1" width="20" style="65" bestFit="1" customWidth="1"/>
    <col min="2" max="2" width="81" style="66" customWidth="1"/>
    <col min="3" max="3" width="13.1640625" style="2" bestFit="1" customWidth="1"/>
    <col min="4" max="4" width="11.6640625" style="1" bestFit="1" customWidth="1"/>
    <col min="5" max="5" width="43.1640625" style="2" bestFit="1" customWidth="1"/>
    <col min="6" max="6" width="11.6640625" style="1" bestFit="1" customWidth="1"/>
    <col min="7" max="7" width="23.6640625" style="70" bestFit="1" customWidth="1"/>
    <col min="8" max="8" width="20.33203125" style="3" customWidth="1"/>
    <col min="9" max="9" width="45.1640625" style="101" bestFit="1" customWidth="1"/>
    <col min="10" max="10" width="33.33203125" style="4" customWidth="1"/>
    <col min="11" max="11" width="13.83203125" style="1" bestFit="1" customWidth="1"/>
    <col min="12" max="12" width="22.83203125" style="1" bestFit="1" customWidth="1"/>
    <col min="13" max="16384" width="10.83203125" style="1"/>
  </cols>
  <sheetData>
    <row r="1" spans="1:12" s="65" customFormat="1" x14ac:dyDescent="0.2">
      <c r="A1" s="83" t="s">
        <v>261</v>
      </c>
      <c r="B1" s="88" t="s">
        <v>237</v>
      </c>
      <c r="C1" s="84" t="s">
        <v>260</v>
      </c>
      <c r="D1" s="83" t="s">
        <v>0</v>
      </c>
      <c r="E1" s="84" t="s">
        <v>1</v>
      </c>
      <c r="F1" s="83" t="s">
        <v>2</v>
      </c>
      <c r="G1" s="90" t="s">
        <v>263</v>
      </c>
      <c r="H1" s="85" t="s">
        <v>3</v>
      </c>
      <c r="I1" s="100" t="s">
        <v>4</v>
      </c>
      <c r="J1" s="86" t="s">
        <v>5</v>
      </c>
      <c r="K1" s="83" t="s">
        <v>6</v>
      </c>
      <c r="L1" s="83" t="s">
        <v>73</v>
      </c>
    </row>
    <row r="2" spans="1:12" x14ac:dyDescent="0.2">
      <c r="A2" s="64">
        <v>11</v>
      </c>
      <c r="B2" s="66" t="s">
        <v>238</v>
      </c>
      <c r="C2" s="2" t="s">
        <v>7</v>
      </c>
      <c r="D2" s="1" t="s">
        <v>8</v>
      </c>
      <c r="E2" s="2" t="s">
        <v>7</v>
      </c>
      <c r="F2" s="1" t="s">
        <v>9</v>
      </c>
      <c r="G2" s="70">
        <v>0</v>
      </c>
      <c r="H2" s="3" t="s">
        <v>10</v>
      </c>
      <c r="I2" s="101">
        <v>0.99863526367797495</v>
      </c>
      <c r="J2" s="4">
        <v>1.00096375958839</v>
      </c>
      <c r="K2" s="1" t="s">
        <v>11</v>
      </c>
      <c r="L2" s="1" t="s">
        <v>12</v>
      </c>
    </row>
    <row r="3" spans="1:12" x14ac:dyDescent="0.2">
      <c r="A3" s="64">
        <v>11</v>
      </c>
      <c r="B3" s="66" t="s">
        <v>238</v>
      </c>
      <c r="C3" s="2" t="s">
        <v>7</v>
      </c>
      <c r="D3" s="1" t="s">
        <v>8</v>
      </c>
      <c r="E3" s="2" t="s">
        <v>7</v>
      </c>
      <c r="F3" s="1" t="s">
        <v>9</v>
      </c>
      <c r="G3" s="70">
        <v>0.01</v>
      </c>
      <c r="H3" s="3" t="s">
        <v>10</v>
      </c>
      <c r="I3" s="101">
        <v>1.34677911102371</v>
      </c>
      <c r="J3" s="4">
        <v>1.44312905650182</v>
      </c>
      <c r="K3" s="1" t="s">
        <v>13</v>
      </c>
      <c r="L3" s="1" t="s">
        <v>14</v>
      </c>
    </row>
    <row r="4" spans="1:12" x14ac:dyDescent="0.2">
      <c r="A4" s="65">
        <v>11</v>
      </c>
      <c r="B4" s="66" t="s">
        <v>238</v>
      </c>
      <c r="C4" s="2" t="s">
        <v>7</v>
      </c>
      <c r="D4" s="1" t="s">
        <v>8</v>
      </c>
      <c r="E4" s="2" t="s">
        <v>7</v>
      </c>
      <c r="F4" s="1" t="s">
        <v>9</v>
      </c>
      <c r="G4" s="70">
        <v>0.1</v>
      </c>
      <c r="H4" s="3" t="s">
        <v>10</v>
      </c>
      <c r="I4" s="101">
        <v>3.38959605882062</v>
      </c>
      <c r="J4" s="4">
        <v>2.78638596902936</v>
      </c>
      <c r="K4" s="1" t="s">
        <v>13</v>
      </c>
      <c r="L4" s="1" t="s">
        <v>14</v>
      </c>
    </row>
    <row r="5" spans="1:12" x14ac:dyDescent="0.2">
      <c r="A5" s="64">
        <v>11</v>
      </c>
      <c r="B5" s="66" t="s">
        <v>238</v>
      </c>
      <c r="C5" s="2" t="s">
        <v>7</v>
      </c>
      <c r="D5" s="1" t="s">
        <v>8</v>
      </c>
      <c r="E5" s="2" t="s">
        <v>7</v>
      </c>
      <c r="F5" s="1" t="s">
        <v>9</v>
      </c>
      <c r="G5" s="70">
        <v>1</v>
      </c>
      <c r="H5" s="3" t="s">
        <v>10</v>
      </c>
      <c r="I5" s="101">
        <v>0.21669625839300499</v>
      </c>
      <c r="J5" s="4">
        <v>0.17759412216904599</v>
      </c>
      <c r="K5" s="1" t="s">
        <v>15</v>
      </c>
      <c r="L5" s="1" t="s">
        <v>14</v>
      </c>
    </row>
    <row r="6" spans="1:12" x14ac:dyDescent="0.2">
      <c r="A6" s="65">
        <v>11</v>
      </c>
      <c r="B6" s="66" t="s">
        <v>238</v>
      </c>
      <c r="C6" s="2" t="s">
        <v>7</v>
      </c>
      <c r="D6" s="1" t="s">
        <v>8</v>
      </c>
      <c r="E6" s="2" t="s">
        <v>7</v>
      </c>
      <c r="F6" s="1" t="s">
        <v>9</v>
      </c>
      <c r="G6" s="70">
        <v>10</v>
      </c>
      <c r="H6" s="3" t="s">
        <v>10</v>
      </c>
      <c r="I6" s="101">
        <v>0.50759229648459503</v>
      </c>
      <c r="J6" s="4">
        <v>0.37993471222876002</v>
      </c>
      <c r="K6" s="1" t="s">
        <v>15</v>
      </c>
      <c r="L6" s="1" t="s">
        <v>14</v>
      </c>
    </row>
    <row r="7" spans="1:12" x14ac:dyDescent="0.2">
      <c r="A7" s="64">
        <v>11</v>
      </c>
      <c r="B7" s="66" t="s">
        <v>239</v>
      </c>
      <c r="C7" s="2" t="s">
        <v>7</v>
      </c>
      <c r="D7" s="1" t="s">
        <v>8</v>
      </c>
      <c r="E7" s="2" t="s">
        <v>7</v>
      </c>
      <c r="F7" s="1" t="s">
        <v>9</v>
      </c>
      <c r="G7" s="70">
        <v>0</v>
      </c>
      <c r="H7" s="3" t="s">
        <v>10</v>
      </c>
      <c r="I7" s="101">
        <v>0.99992466709963501</v>
      </c>
      <c r="J7" s="4">
        <v>0.99947684149815696</v>
      </c>
      <c r="K7" s="1" t="s">
        <v>11</v>
      </c>
      <c r="L7" s="1" t="s">
        <v>12</v>
      </c>
    </row>
    <row r="8" spans="1:12" x14ac:dyDescent="0.2">
      <c r="A8" s="65">
        <v>11</v>
      </c>
      <c r="B8" s="66" t="s">
        <v>239</v>
      </c>
      <c r="C8" s="2" t="s">
        <v>7</v>
      </c>
      <c r="D8" s="1" t="s">
        <v>8</v>
      </c>
      <c r="E8" s="2" t="s">
        <v>7</v>
      </c>
      <c r="F8" s="1" t="s">
        <v>9</v>
      </c>
      <c r="G8" s="70">
        <v>0.01</v>
      </c>
      <c r="H8" s="3" t="s">
        <v>10</v>
      </c>
      <c r="I8" s="101">
        <v>1.69394239299024</v>
      </c>
      <c r="J8" s="4">
        <v>1.6616989496838199</v>
      </c>
      <c r="K8" s="1" t="s">
        <v>13</v>
      </c>
      <c r="L8" s="1" t="s">
        <v>14</v>
      </c>
    </row>
    <row r="9" spans="1:12" x14ac:dyDescent="0.2">
      <c r="A9" s="64">
        <v>11</v>
      </c>
      <c r="B9" s="66" t="s">
        <v>239</v>
      </c>
      <c r="C9" s="2" t="s">
        <v>7</v>
      </c>
      <c r="D9" s="1" t="s">
        <v>8</v>
      </c>
      <c r="E9" s="2" t="s">
        <v>7</v>
      </c>
      <c r="F9" s="1" t="s">
        <v>9</v>
      </c>
      <c r="G9" s="70">
        <v>0.1</v>
      </c>
      <c r="H9" s="3" t="s">
        <v>10</v>
      </c>
      <c r="I9" s="101">
        <v>2.0332822425102299</v>
      </c>
      <c r="J9" s="4">
        <v>1.7261298580964699</v>
      </c>
      <c r="K9" s="1" t="s">
        <v>13</v>
      </c>
      <c r="L9" s="1" t="s">
        <v>14</v>
      </c>
    </row>
    <row r="10" spans="1:12" x14ac:dyDescent="0.2">
      <c r="A10" s="65">
        <v>11</v>
      </c>
      <c r="B10" s="66" t="s">
        <v>239</v>
      </c>
      <c r="C10" s="2" t="s">
        <v>7</v>
      </c>
      <c r="D10" s="1" t="s">
        <v>8</v>
      </c>
      <c r="E10" s="2" t="s">
        <v>7</v>
      </c>
      <c r="F10" s="1" t="s">
        <v>9</v>
      </c>
      <c r="G10" s="70">
        <v>1</v>
      </c>
      <c r="H10" s="3" t="s">
        <v>10</v>
      </c>
      <c r="I10" s="101">
        <v>0.391049783690057</v>
      </c>
      <c r="J10" s="4">
        <v>0.36373242199989497</v>
      </c>
      <c r="K10" s="1" t="s">
        <v>15</v>
      </c>
      <c r="L10" s="1" t="s">
        <v>14</v>
      </c>
    </row>
    <row r="11" spans="1:12" x14ac:dyDescent="0.2">
      <c r="A11" s="64">
        <v>11</v>
      </c>
      <c r="B11" s="66" t="s">
        <v>239</v>
      </c>
      <c r="C11" s="2" t="s">
        <v>7</v>
      </c>
      <c r="D11" s="1" t="s">
        <v>8</v>
      </c>
      <c r="E11" s="2" t="s">
        <v>7</v>
      </c>
      <c r="F11" s="1" t="s">
        <v>9</v>
      </c>
      <c r="G11" s="70">
        <v>10</v>
      </c>
      <c r="H11" s="3" t="s">
        <v>10</v>
      </c>
      <c r="I11" s="101">
        <v>0.56189525065392998</v>
      </c>
      <c r="J11" s="4">
        <v>0.522262684923123</v>
      </c>
      <c r="K11" s="1" t="s">
        <v>15</v>
      </c>
      <c r="L11" s="1" t="s">
        <v>16</v>
      </c>
    </row>
    <row r="12" spans="1:12" x14ac:dyDescent="0.2">
      <c r="A12" s="65">
        <v>11</v>
      </c>
      <c r="B12" s="66" t="s">
        <v>240</v>
      </c>
      <c r="C12" s="2" t="s">
        <v>7</v>
      </c>
      <c r="D12" s="1" t="s">
        <v>8</v>
      </c>
      <c r="E12" s="2" t="s">
        <v>7</v>
      </c>
      <c r="F12" s="1" t="s">
        <v>9</v>
      </c>
      <c r="G12" s="70">
        <v>0</v>
      </c>
      <c r="H12" s="3" t="s">
        <v>10</v>
      </c>
      <c r="I12" s="101">
        <v>1.0020730171410901</v>
      </c>
      <c r="J12" s="4">
        <v>1.00095674796315</v>
      </c>
      <c r="K12" s="1" t="s">
        <v>11</v>
      </c>
      <c r="L12" s="1" t="s">
        <v>12</v>
      </c>
    </row>
    <row r="13" spans="1:12" x14ac:dyDescent="0.2">
      <c r="A13" s="64">
        <v>11</v>
      </c>
      <c r="B13" s="66" t="s">
        <v>240</v>
      </c>
      <c r="C13" s="2" t="s">
        <v>7</v>
      </c>
      <c r="D13" s="1" t="s">
        <v>8</v>
      </c>
      <c r="E13" s="2" t="s">
        <v>7</v>
      </c>
      <c r="F13" s="1" t="s">
        <v>9</v>
      </c>
      <c r="G13" s="70">
        <v>0.01</v>
      </c>
      <c r="H13" s="3" t="s">
        <v>10</v>
      </c>
      <c r="I13" s="101">
        <v>1.3677761284211201</v>
      </c>
      <c r="J13" s="4">
        <v>1.5111917266852899</v>
      </c>
      <c r="K13" s="1" t="s">
        <v>13</v>
      </c>
      <c r="L13" s="1" t="s">
        <v>14</v>
      </c>
    </row>
    <row r="14" spans="1:12" x14ac:dyDescent="0.2">
      <c r="A14" s="65">
        <v>11</v>
      </c>
      <c r="B14" s="66" t="s">
        <v>240</v>
      </c>
      <c r="C14" s="2" t="s">
        <v>7</v>
      </c>
      <c r="D14" s="1" t="s">
        <v>8</v>
      </c>
      <c r="E14" s="2" t="s">
        <v>7</v>
      </c>
      <c r="F14" s="1" t="s">
        <v>9</v>
      </c>
      <c r="G14" s="70">
        <v>0.1</v>
      </c>
      <c r="H14" s="3" t="s">
        <v>10</v>
      </c>
      <c r="I14" s="101">
        <v>1.9010695629980101</v>
      </c>
      <c r="J14" s="4">
        <v>1.76635086788136</v>
      </c>
      <c r="K14" s="1" t="s">
        <v>13</v>
      </c>
      <c r="L14" s="1" t="s">
        <v>14</v>
      </c>
    </row>
    <row r="15" spans="1:12" x14ac:dyDescent="0.2">
      <c r="A15" s="64">
        <v>11</v>
      </c>
      <c r="B15" s="66" t="s">
        <v>240</v>
      </c>
      <c r="C15" s="2" t="s">
        <v>7</v>
      </c>
      <c r="D15" s="1" t="s">
        <v>8</v>
      </c>
      <c r="E15" s="2" t="s">
        <v>7</v>
      </c>
      <c r="F15" s="1" t="s">
        <v>9</v>
      </c>
      <c r="G15" s="70">
        <v>1</v>
      </c>
      <c r="H15" s="3" t="s">
        <v>10</v>
      </c>
      <c r="I15" s="101">
        <v>0.145977861331829</v>
      </c>
      <c r="J15" s="4">
        <v>0.184414174667726</v>
      </c>
      <c r="K15" s="1" t="s">
        <v>15</v>
      </c>
      <c r="L15" s="1" t="s">
        <v>14</v>
      </c>
    </row>
    <row r="16" spans="1:12" x14ac:dyDescent="0.2">
      <c r="A16" s="65">
        <v>11</v>
      </c>
      <c r="B16" s="66" t="s">
        <v>240</v>
      </c>
      <c r="C16" s="2" t="s">
        <v>7</v>
      </c>
      <c r="D16" s="1" t="s">
        <v>8</v>
      </c>
      <c r="E16" s="2" t="s">
        <v>7</v>
      </c>
      <c r="F16" s="1" t="s">
        <v>9</v>
      </c>
      <c r="G16" s="70">
        <v>10</v>
      </c>
      <c r="H16" s="3" t="s">
        <v>10</v>
      </c>
      <c r="I16" s="101">
        <v>0.52717545523101506</v>
      </c>
      <c r="J16" s="4">
        <v>0.84193004194183296</v>
      </c>
      <c r="K16" s="1" t="s">
        <v>15</v>
      </c>
      <c r="L16" s="1" t="s">
        <v>16</v>
      </c>
    </row>
    <row r="17" spans="1:12" x14ac:dyDescent="0.2">
      <c r="A17" s="64">
        <v>3</v>
      </c>
      <c r="B17" s="66" t="s">
        <v>17</v>
      </c>
      <c r="C17" s="2" t="s">
        <v>7</v>
      </c>
      <c r="D17" s="1" t="s">
        <v>18</v>
      </c>
      <c r="E17" s="2" t="s">
        <v>7</v>
      </c>
      <c r="F17" s="1" t="s">
        <v>8</v>
      </c>
      <c r="G17" s="70">
        <v>0</v>
      </c>
      <c r="H17" s="3" t="s">
        <v>10</v>
      </c>
      <c r="I17" s="101">
        <v>0.99789177793394201</v>
      </c>
      <c r="J17" s="4" t="s">
        <v>10</v>
      </c>
      <c r="K17" s="1" t="s">
        <v>11</v>
      </c>
      <c r="L17" s="1" t="s">
        <v>12</v>
      </c>
    </row>
    <row r="18" spans="1:12" x14ac:dyDescent="0.2">
      <c r="A18" s="64">
        <v>3</v>
      </c>
      <c r="B18" s="66" t="s">
        <v>17</v>
      </c>
      <c r="C18" s="2" t="s">
        <v>7</v>
      </c>
      <c r="D18" s="1" t="s">
        <v>18</v>
      </c>
      <c r="E18" s="2" t="s">
        <v>7</v>
      </c>
      <c r="F18" s="1" t="s">
        <v>8</v>
      </c>
      <c r="G18" s="70">
        <v>0.01</v>
      </c>
      <c r="H18" s="3" t="s">
        <v>10</v>
      </c>
      <c r="I18" s="101">
        <v>1.04005621925509</v>
      </c>
      <c r="J18" s="4" t="s">
        <v>10</v>
      </c>
      <c r="K18" s="1" t="s">
        <v>11</v>
      </c>
      <c r="L18" s="1" t="s">
        <v>12</v>
      </c>
    </row>
    <row r="19" spans="1:12" x14ac:dyDescent="0.2">
      <c r="A19" s="64">
        <v>3</v>
      </c>
      <c r="B19" s="66" t="s">
        <v>17</v>
      </c>
      <c r="C19" s="2" t="s">
        <v>7</v>
      </c>
      <c r="D19" s="1" t="s">
        <v>18</v>
      </c>
      <c r="E19" s="2" t="s">
        <v>7</v>
      </c>
      <c r="F19" s="1" t="s">
        <v>8</v>
      </c>
      <c r="G19" s="70">
        <v>0.1</v>
      </c>
      <c r="H19" s="3" t="s">
        <v>10</v>
      </c>
      <c r="I19" s="101">
        <v>1.8917779339423699</v>
      </c>
      <c r="J19" s="4" t="s">
        <v>10</v>
      </c>
      <c r="K19" s="1" t="s">
        <v>13</v>
      </c>
      <c r="L19" s="1" t="s">
        <v>14</v>
      </c>
    </row>
    <row r="20" spans="1:12" x14ac:dyDescent="0.2">
      <c r="A20" s="64">
        <v>3</v>
      </c>
      <c r="B20" s="66" t="s">
        <v>17</v>
      </c>
      <c r="C20" s="2" t="s">
        <v>7</v>
      </c>
      <c r="D20" s="1" t="s">
        <v>18</v>
      </c>
      <c r="E20" s="2" t="s">
        <v>7</v>
      </c>
      <c r="F20" s="1" t="s">
        <v>8</v>
      </c>
      <c r="G20" s="70">
        <v>1</v>
      </c>
      <c r="H20" s="3" t="s">
        <v>10</v>
      </c>
      <c r="I20" s="101">
        <v>1.95643007730147</v>
      </c>
      <c r="J20" s="4" t="s">
        <v>10</v>
      </c>
      <c r="K20" s="1" t="s">
        <v>13</v>
      </c>
      <c r="L20" s="1" t="s">
        <v>14</v>
      </c>
    </row>
    <row r="21" spans="1:12" x14ac:dyDescent="0.2">
      <c r="A21" s="64">
        <v>3</v>
      </c>
      <c r="B21" s="66" t="s">
        <v>17</v>
      </c>
      <c r="C21" s="2" t="s">
        <v>7</v>
      </c>
      <c r="D21" s="1" t="s">
        <v>18</v>
      </c>
      <c r="E21" s="2" t="s">
        <v>7</v>
      </c>
      <c r="F21" s="1" t="s">
        <v>8</v>
      </c>
      <c r="G21" s="70">
        <v>5</v>
      </c>
      <c r="H21" s="3" t="s">
        <v>10</v>
      </c>
      <c r="I21" s="101">
        <v>3.1482782853127098</v>
      </c>
      <c r="J21" s="4" t="s">
        <v>10</v>
      </c>
      <c r="K21" s="1" t="s">
        <v>13</v>
      </c>
      <c r="L21" s="1" t="s">
        <v>14</v>
      </c>
    </row>
    <row r="22" spans="1:12" x14ac:dyDescent="0.2">
      <c r="A22" s="64">
        <v>3</v>
      </c>
      <c r="B22" s="66" t="s">
        <v>17</v>
      </c>
      <c r="C22" s="2" t="s">
        <v>7</v>
      </c>
      <c r="D22" s="1" t="s">
        <v>18</v>
      </c>
      <c r="E22" s="2" t="s">
        <v>7</v>
      </c>
      <c r="F22" s="1" t="s">
        <v>8</v>
      </c>
      <c r="G22" s="70">
        <v>10</v>
      </c>
      <c r="H22" s="3" t="s">
        <v>10</v>
      </c>
      <c r="I22" s="101">
        <v>3.6373858046380798</v>
      </c>
      <c r="J22" s="4" t="s">
        <v>10</v>
      </c>
      <c r="K22" s="1" t="s">
        <v>13</v>
      </c>
      <c r="L22" s="1" t="s">
        <v>14</v>
      </c>
    </row>
    <row r="23" spans="1:12" x14ac:dyDescent="0.2">
      <c r="A23" s="64">
        <v>3</v>
      </c>
      <c r="B23" s="66" t="s">
        <v>17</v>
      </c>
      <c r="C23" s="2" t="s">
        <v>7</v>
      </c>
      <c r="D23" s="1" t="s">
        <v>18</v>
      </c>
      <c r="E23" s="2" t="s">
        <v>7</v>
      </c>
      <c r="F23" s="1" t="s">
        <v>8</v>
      </c>
      <c r="G23" s="70">
        <v>25</v>
      </c>
      <c r="H23" s="3" t="s">
        <v>10</v>
      </c>
      <c r="I23" s="101">
        <v>4.2529866479269103</v>
      </c>
      <c r="J23" s="4" t="s">
        <v>10</v>
      </c>
      <c r="K23" s="1" t="s">
        <v>13</v>
      </c>
      <c r="L23" s="1" t="s">
        <v>14</v>
      </c>
    </row>
    <row r="24" spans="1:12" x14ac:dyDescent="0.2">
      <c r="A24" s="64">
        <v>3</v>
      </c>
      <c r="B24" s="66" t="s">
        <v>17</v>
      </c>
      <c r="C24" s="2" t="s">
        <v>7</v>
      </c>
      <c r="D24" s="1" t="s">
        <v>18</v>
      </c>
      <c r="E24" s="2" t="s">
        <v>7</v>
      </c>
      <c r="F24" s="1" t="s">
        <v>8</v>
      </c>
      <c r="G24" s="70">
        <v>50</v>
      </c>
      <c r="H24" s="3" t="s">
        <v>10</v>
      </c>
      <c r="I24" s="101">
        <v>4.3204497540407498</v>
      </c>
      <c r="J24" s="4" t="s">
        <v>10</v>
      </c>
      <c r="K24" s="1" t="s">
        <v>13</v>
      </c>
      <c r="L24" s="1" t="s">
        <v>14</v>
      </c>
    </row>
    <row r="25" spans="1:12" x14ac:dyDescent="0.2">
      <c r="A25" s="64">
        <v>3</v>
      </c>
      <c r="B25" s="66" t="s">
        <v>17</v>
      </c>
      <c r="C25" s="2" t="s">
        <v>7</v>
      </c>
      <c r="D25" s="1" t="s">
        <v>18</v>
      </c>
      <c r="E25" s="2" t="s">
        <v>19</v>
      </c>
      <c r="F25" s="2"/>
      <c r="G25" s="70">
        <v>0</v>
      </c>
      <c r="H25" s="3" t="s">
        <v>10</v>
      </c>
      <c r="I25" s="101">
        <v>1.0007027406886799</v>
      </c>
      <c r="J25" s="4" t="s">
        <v>10</v>
      </c>
      <c r="K25" s="1" t="s">
        <v>11</v>
      </c>
      <c r="L25" s="1" t="s">
        <v>12</v>
      </c>
    </row>
    <row r="26" spans="1:12" x14ac:dyDescent="0.2">
      <c r="A26" s="64">
        <v>3</v>
      </c>
      <c r="B26" s="66" t="s">
        <v>17</v>
      </c>
      <c r="C26" s="2" t="s">
        <v>7</v>
      </c>
      <c r="D26" s="1" t="s">
        <v>18</v>
      </c>
      <c r="E26" s="2" t="s">
        <v>19</v>
      </c>
      <c r="F26" s="2"/>
      <c r="G26" s="70">
        <v>0.01</v>
      </c>
      <c r="H26" s="3" t="s">
        <v>10</v>
      </c>
      <c r="I26" s="101">
        <v>1.0147575544623999</v>
      </c>
      <c r="J26" s="4" t="s">
        <v>10</v>
      </c>
      <c r="K26" s="1" t="s">
        <v>11</v>
      </c>
      <c r="L26" s="1" t="s">
        <v>12</v>
      </c>
    </row>
    <row r="27" spans="1:12" x14ac:dyDescent="0.2">
      <c r="A27" s="64">
        <v>3</v>
      </c>
      <c r="B27" s="66" t="s">
        <v>17</v>
      </c>
      <c r="C27" s="2" t="s">
        <v>7</v>
      </c>
      <c r="D27" s="1" t="s">
        <v>18</v>
      </c>
      <c r="E27" s="2" t="s">
        <v>19</v>
      </c>
      <c r="F27" s="2"/>
      <c r="G27" s="70">
        <v>0.1</v>
      </c>
      <c r="H27" s="3" t="s">
        <v>10</v>
      </c>
      <c r="I27" s="101">
        <v>1.33239634574841</v>
      </c>
      <c r="J27" s="4" t="s">
        <v>10</v>
      </c>
      <c r="K27" s="1" t="s">
        <v>13</v>
      </c>
      <c r="L27" s="1" t="s">
        <v>14</v>
      </c>
    </row>
    <row r="28" spans="1:12" x14ac:dyDescent="0.2">
      <c r="A28" s="64">
        <v>3</v>
      </c>
      <c r="B28" s="66" t="s">
        <v>17</v>
      </c>
      <c r="C28" s="2" t="s">
        <v>7</v>
      </c>
      <c r="D28" s="1" t="s">
        <v>18</v>
      </c>
      <c r="E28" s="2" t="s">
        <v>19</v>
      </c>
      <c r="F28" s="2"/>
      <c r="G28" s="70">
        <v>1</v>
      </c>
      <c r="H28" s="3" t="s">
        <v>10</v>
      </c>
      <c r="I28" s="101">
        <v>1.41953619114546</v>
      </c>
      <c r="J28" s="4" t="s">
        <v>10</v>
      </c>
      <c r="K28" s="1" t="s">
        <v>13</v>
      </c>
      <c r="L28" s="1" t="s">
        <v>16</v>
      </c>
    </row>
    <row r="29" spans="1:12" x14ac:dyDescent="0.2">
      <c r="A29" s="64">
        <v>3</v>
      </c>
      <c r="B29" s="66" t="s">
        <v>17</v>
      </c>
      <c r="C29" s="2" t="s">
        <v>7</v>
      </c>
      <c r="D29" s="1" t="s">
        <v>18</v>
      </c>
      <c r="E29" s="2" t="s">
        <v>19</v>
      </c>
      <c r="F29" s="2"/>
      <c r="G29" s="70">
        <v>5</v>
      </c>
      <c r="H29" s="3" t="s">
        <v>10</v>
      </c>
      <c r="I29" s="101">
        <v>1.7456078706957101</v>
      </c>
      <c r="J29" s="4" t="s">
        <v>10</v>
      </c>
      <c r="K29" s="1" t="s">
        <v>13</v>
      </c>
      <c r="L29" s="1" t="s">
        <v>14</v>
      </c>
    </row>
    <row r="30" spans="1:12" x14ac:dyDescent="0.2">
      <c r="A30" s="64">
        <v>3</v>
      </c>
      <c r="B30" s="66" t="s">
        <v>17</v>
      </c>
      <c r="C30" s="2" t="s">
        <v>7</v>
      </c>
      <c r="D30" s="1" t="s">
        <v>18</v>
      </c>
      <c r="E30" s="2" t="s">
        <v>19</v>
      </c>
      <c r="F30" s="2"/>
      <c r="G30" s="70">
        <v>10</v>
      </c>
      <c r="H30" s="3" t="s">
        <v>10</v>
      </c>
      <c r="I30" s="101">
        <v>2.27969079409697</v>
      </c>
      <c r="J30" s="4" t="s">
        <v>10</v>
      </c>
      <c r="K30" s="1" t="s">
        <v>13</v>
      </c>
      <c r="L30" s="1" t="s">
        <v>14</v>
      </c>
    </row>
    <row r="31" spans="1:12" x14ac:dyDescent="0.2">
      <c r="A31" s="64">
        <v>3</v>
      </c>
      <c r="B31" s="66" t="s">
        <v>17</v>
      </c>
      <c r="C31" s="2" t="s">
        <v>7</v>
      </c>
      <c r="D31" s="1" t="s">
        <v>18</v>
      </c>
      <c r="E31" s="2" t="s">
        <v>19</v>
      </c>
      <c r="F31" s="2"/>
      <c r="G31" s="70">
        <v>25</v>
      </c>
      <c r="H31" s="3" t="s">
        <v>10</v>
      </c>
      <c r="I31" s="101">
        <v>2.1560084328882598</v>
      </c>
      <c r="J31" s="4" t="s">
        <v>10</v>
      </c>
      <c r="K31" s="1" t="s">
        <v>13</v>
      </c>
      <c r="L31" s="1" t="s">
        <v>14</v>
      </c>
    </row>
    <row r="32" spans="1:12" x14ac:dyDescent="0.2">
      <c r="A32" s="64">
        <v>3</v>
      </c>
      <c r="B32" s="66" t="s">
        <v>17</v>
      </c>
      <c r="C32" s="2" t="s">
        <v>7</v>
      </c>
      <c r="D32" s="1" t="s">
        <v>18</v>
      </c>
      <c r="E32" s="2" t="s">
        <v>19</v>
      </c>
      <c r="G32" s="70">
        <v>50</v>
      </c>
      <c r="H32" s="3" t="s">
        <v>10</v>
      </c>
      <c r="I32" s="101">
        <v>2.13633169360505</v>
      </c>
      <c r="J32" s="4" t="s">
        <v>10</v>
      </c>
      <c r="K32" s="1" t="s">
        <v>13</v>
      </c>
      <c r="L32" s="1" t="s">
        <v>14</v>
      </c>
    </row>
    <row r="33" spans="1:12" x14ac:dyDescent="0.2">
      <c r="A33" s="64">
        <v>31</v>
      </c>
      <c r="B33" s="66" t="s">
        <v>241</v>
      </c>
      <c r="C33" s="2" t="s">
        <v>7</v>
      </c>
      <c r="D33" s="1" t="s">
        <v>20</v>
      </c>
      <c r="E33" s="2" t="s">
        <v>7</v>
      </c>
      <c r="F33" s="1" t="s">
        <v>8</v>
      </c>
      <c r="G33" s="70">
        <v>0</v>
      </c>
      <c r="H33" s="3" t="s">
        <v>10</v>
      </c>
      <c r="I33" s="101">
        <v>0.98804780876494003</v>
      </c>
      <c r="J33" s="4" t="s">
        <v>10</v>
      </c>
      <c r="K33" s="1" t="s">
        <v>11</v>
      </c>
      <c r="L33" s="1" t="s">
        <v>12</v>
      </c>
    </row>
    <row r="34" spans="1:12" x14ac:dyDescent="0.2">
      <c r="A34" s="64">
        <v>31</v>
      </c>
      <c r="B34" s="66" t="s">
        <v>241</v>
      </c>
      <c r="C34" s="2" t="s">
        <v>7</v>
      </c>
      <c r="D34" s="1" t="s">
        <v>20</v>
      </c>
      <c r="E34" s="2" t="s">
        <v>7</v>
      </c>
      <c r="F34" s="1" t="s">
        <v>8</v>
      </c>
      <c r="G34" s="70">
        <v>1E-4</v>
      </c>
      <c r="H34" s="3" t="s">
        <v>10</v>
      </c>
      <c r="I34" s="101">
        <v>3.1434262948207099</v>
      </c>
      <c r="J34" s="4" t="s">
        <v>10</v>
      </c>
      <c r="K34" s="1" t="s">
        <v>13</v>
      </c>
      <c r="L34" s="1" t="s">
        <v>14</v>
      </c>
    </row>
    <row r="35" spans="1:12" x14ac:dyDescent="0.2">
      <c r="A35" s="64">
        <v>31</v>
      </c>
      <c r="B35" s="66" t="s">
        <v>241</v>
      </c>
      <c r="C35" s="2" t="s">
        <v>7</v>
      </c>
      <c r="D35" s="1" t="s">
        <v>20</v>
      </c>
      <c r="E35" s="2" t="s">
        <v>7</v>
      </c>
      <c r="F35" s="1" t="s">
        <v>8</v>
      </c>
      <c r="G35" s="70">
        <v>1E-3</v>
      </c>
      <c r="H35" s="3" t="s">
        <v>10</v>
      </c>
      <c r="I35" s="101">
        <v>2.9083665338645401</v>
      </c>
      <c r="J35" s="4" t="s">
        <v>10</v>
      </c>
      <c r="K35" s="1" t="s">
        <v>13</v>
      </c>
      <c r="L35" s="1" t="s">
        <v>12</v>
      </c>
    </row>
    <row r="36" spans="1:12" x14ac:dyDescent="0.2">
      <c r="A36" s="64">
        <v>31</v>
      </c>
      <c r="B36" s="66" t="s">
        <v>241</v>
      </c>
      <c r="C36" s="2" t="s">
        <v>7</v>
      </c>
      <c r="D36" s="1" t="s">
        <v>20</v>
      </c>
      <c r="E36" s="2" t="s">
        <v>7</v>
      </c>
      <c r="F36" s="1" t="s">
        <v>8</v>
      </c>
      <c r="G36" s="70">
        <v>0.01</v>
      </c>
      <c r="H36" s="3" t="s">
        <v>10</v>
      </c>
      <c r="I36" s="101">
        <v>3.6653386454183199</v>
      </c>
      <c r="J36" s="4" t="s">
        <v>10</v>
      </c>
      <c r="K36" s="1" t="s">
        <v>13</v>
      </c>
      <c r="L36" s="1" t="s">
        <v>14</v>
      </c>
    </row>
    <row r="37" spans="1:12" x14ac:dyDescent="0.2">
      <c r="A37" s="64">
        <v>31</v>
      </c>
      <c r="B37" s="66" t="s">
        <v>241</v>
      </c>
      <c r="C37" s="2" t="s">
        <v>7</v>
      </c>
      <c r="D37" s="1" t="s">
        <v>20</v>
      </c>
      <c r="E37" s="2" t="s">
        <v>7</v>
      </c>
      <c r="F37" s="1" t="s">
        <v>8</v>
      </c>
      <c r="G37" s="70">
        <v>0.1</v>
      </c>
      <c r="H37" s="3" t="s">
        <v>10</v>
      </c>
      <c r="I37" s="101">
        <v>1.9203187250996001</v>
      </c>
      <c r="J37" s="4" t="s">
        <v>10</v>
      </c>
      <c r="K37" s="1" t="s">
        <v>13</v>
      </c>
      <c r="L37" s="1" t="s">
        <v>12</v>
      </c>
    </row>
    <row r="38" spans="1:12" x14ac:dyDescent="0.2">
      <c r="A38" s="64">
        <v>31</v>
      </c>
      <c r="B38" s="66" t="s">
        <v>241</v>
      </c>
      <c r="C38" s="2" t="s">
        <v>7</v>
      </c>
      <c r="D38" s="1" t="s">
        <v>20</v>
      </c>
      <c r="E38" s="2" t="s">
        <v>21</v>
      </c>
      <c r="G38" s="70">
        <v>0</v>
      </c>
      <c r="H38" s="3" t="s">
        <v>10</v>
      </c>
      <c r="I38" s="101">
        <v>1.2734138972809601</v>
      </c>
      <c r="J38" s="4" t="s">
        <v>10</v>
      </c>
      <c r="K38" s="1" t="s">
        <v>13</v>
      </c>
      <c r="L38" s="1" t="s">
        <v>12</v>
      </c>
    </row>
    <row r="39" spans="1:12" x14ac:dyDescent="0.2">
      <c r="A39" s="64">
        <v>31</v>
      </c>
      <c r="B39" s="66" t="s">
        <v>241</v>
      </c>
      <c r="C39" s="2" t="s">
        <v>7</v>
      </c>
      <c r="D39" s="1" t="s">
        <v>20</v>
      </c>
      <c r="E39" s="2" t="s">
        <v>21</v>
      </c>
      <c r="G39" s="70">
        <v>1E-4</v>
      </c>
      <c r="H39" s="3" t="s">
        <v>10</v>
      </c>
      <c r="I39" s="101">
        <v>3.0770392749244602</v>
      </c>
      <c r="J39" s="4" t="s">
        <v>10</v>
      </c>
      <c r="K39" s="1" t="s">
        <v>13</v>
      </c>
      <c r="L39" s="1" t="s">
        <v>12</v>
      </c>
    </row>
    <row r="40" spans="1:12" x14ac:dyDescent="0.2">
      <c r="A40" s="64">
        <v>31</v>
      </c>
      <c r="B40" s="66" t="s">
        <v>241</v>
      </c>
      <c r="C40" s="2" t="s">
        <v>7</v>
      </c>
      <c r="D40" s="1" t="s">
        <v>20</v>
      </c>
      <c r="E40" s="2" t="s">
        <v>21</v>
      </c>
      <c r="G40" s="70">
        <v>1E-3</v>
      </c>
      <c r="H40" s="3" t="s">
        <v>10</v>
      </c>
      <c r="I40" s="101">
        <v>1.5135951661631399</v>
      </c>
      <c r="J40" s="4" t="s">
        <v>10</v>
      </c>
      <c r="K40" s="1" t="s">
        <v>13</v>
      </c>
      <c r="L40" s="1" t="s">
        <v>12</v>
      </c>
    </row>
    <row r="41" spans="1:12" x14ac:dyDescent="0.2">
      <c r="A41" s="64">
        <v>31</v>
      </c>
      <c r="B41" s="66" t="s">
        <v>241</v>
      </c>
      <c r="C41" s="2" t="s">
        <v>7</v>
      </c>
      <c r="D41" s="1" t="s">
        <v>20</v>
      </c>
      <c r="E41" s="2" t="s">
        <v>21</v>
      </c>
      <c r="G41" s="70">
        <v>0.01</v>
      </c>
      <c r="H41" s="3" t="s">
        <v>10</v>
      </c>
      <c r="I41" s="101">
        <v>3.0135951661631299</v>
      </c>
      <c r="J41" s="4" t="s">
        <v>10</v>
      </c>
      <c r="K41" s="1" t="s">
        <v>13</v>
      </c>
      <c r="L41" s="1" t="s">
        <v>12</v>
      </c>
    </row>
    <row r="42" spans="1:12" x14ac:dyDescent="0.2">
      <c r="A42" s="64">
        <v>31</v>
      </c>
      <c r="B42" s="66" t="s">
        <v>241</v>
      </c>
      <c r="C42" s="2" t="s">
        <v>7</v>
      </c>
      <c r="D42" s="1" t="s">
        <v>20</v>
      </c>
      <c r="E42" s="2" t="s">
        <v>21</v>
      </c>
      <c r="G42" s="70">
        <v>0.1</v>
      </c>
      <c r="H42" s="3" t="s">
        <v>10</v>
      </c>
      <c r="I42" s="101">
        <v>4.5906344410876097</v>
      </c>
      <c r="J42" s="4" t="s">
        <v>10</v>
      </c>
      <c r="K42" s="1" t="s">
        <v>13</v>
      </c>
      <c r="L42" s="1" t="s">
        <v>16</v>
      </c>
    </row>
    <row r="43" spans="1:12" x14ac:dyDescent="0.2">
      <c r="A43" s="64">
        <v>31</v>
      </c>
      <c r="B43" s="66" t="s">
        <v>242</v>
      </c>
      <c r="C43" s="2" t="s">
        <v>7</v>
      </c>
      <c r="D43" s="1" t="s">
        <v>20</v>
      </c>
      <c r="E43" s="2" t="s">
        <v>7</v>
      </c>
      <c r="F43" s="1" t="s">
        <v>8</v>
      </c>
      <c r="G43" s="70">
        <v>0</v>
      </c>
      <c r="H43" s="3" t="s">
        <v>10</v>
      </c>
      <c r="I43" s="101">
        <v>0.98804780876494003</v>
      </c>
      <c r="J43" s="4" t="s">
        <v>10</v>
      </c>
      <c r="K43" s="1" t="s">
        <v>11</v>
      </c>
      <c r="L43" s="1" t="s">
        <v>12</v>
      </c>
    </row>
    <row r="44" spans="1:12" x14ac:dyDescent="0.2">
      <c r="A44" s="64">
        <v>31</v>
      </c>
      <c r="B44" s="66" t="s">
        <v>242</v>
      </c>
      <c r="C44" s="2" t="s">
        <v>7</v>
      </c>
      <c r="D44" s="1" t="s">
        <v>20</v>
      </c>
      <c r="E44" s="2" t="s">
        <v>7</v>
      </c>
      <c r="F44" s="1" t="s">
        <v>8</v>
      </c>
      <c r="G44" s="70">
        <v>1E-4</v>
      </c>
      <c r="H44" s="3" t="s">
        <v>10</v>
      </c>
      <c r="I44" s="101">
        <v>1.9402390438246999</v>
      </c>
      <c r="J44" s="4" t="s">
        <v>10</v>
      </c>
      <c r="K44" s="1" t="s">
        <v>13</v>
      </c>
      <c r="L44" s="1" t="s">
        <v>16</v>
      </c>
    </row>
    <row r="45" spans="1:12" x14ac:dyDescent="0.2">
      <c r="A45" s="64">
        <v>31</v>
      </c>
      <c r="B45" s="66" t="s">
        <v>242</v>
      </c>
      <c r="C45" s="2" t="s">
        <v>7</v>
      </c>
      <c r="D45" s="1" t="s">
        <v>20</v>
      </c>
      <c r="E45" s="2" t="s">
        <v>7</v>
      </c>
      <c r="F45" s="1" t="s">
        <v>8</v>
      </c>
      <c r="G45" s="70">
        <v>1E-3</v>
      </c>
      <c r="H45" s="3" t="s">
        <v>10</v>
      </c>
      <c r="I45" s="101">
        <v>1.96812749003984</v>
      </c>
      <c r="J45" s="4" t="s">
        <v>10</v>
      </c>
      <c r="K45" s="1" t="s">
        <v>13</v>
      </c>
      <c r="L45" s="1" t="s">
        <v>12</v>
      </c>
    </row>
    <row r="46" spans="1:12" x14ac:dyDescent="0.2">
      <c r="A46" s="64">
        <v>31</v>
      </c>
      <c r="B46" s="66" t="s">
        <v>242</v>
      </c>
      <c r="C46" s="2" t="s">
        <v>7</v>
      </c>
      <c r="D46" s="1" t="s">
        <v>20</v>
      </c>
      <c r="E46" s="2" t="s">
        <v>7</v>
      </c>
      <c r="F46" s="1" t="s">
        <v>8</v>
      </c>
      <c r="G46" s="70">
        <v>0.01</v>
      </c>
      <c r="H46" s="3" t="s">
        <v>10</v>
      </c>
      <c r="I46" s="101">
        <v>2.3984063745019899</v>
      </c>
      <c r="J46" s="4" t="s">
        <v>10</v>
      </c>
      <c r="K46" s="1" t="s">
        <v>13</v>
      </c>
      <c r="L46" s="1" t="s">
        <v>14</v>
      </c>
    </row>
    <row r="47" spans="1:12" x14ac:dyDescent="0.2">
      <c r="A47" s="64">
        <v>31</v>
      </c>
      <c r="B47" s="66" t="s">
        <v>242</v>
      </c>
      <c r="C47" s="2" t="s">
        <v>7</v>
      </c>
      <c r="D47" s="1" t="s">
        <v>20</v>
      </c>
      <c r="E47" s="2" t="s">
        <v>7</v>
      </c>
      <c r="F47" s="1" t="s">
        <v>8</v>
      </c>
      <c r="G47" s="70">
        <v>0.1</v>
      </c>
      <c r="H47" s="3" t="s">
        <v>10</v>
      </c>
      <c r="I47" s="101">
        <v>3.1713147410358502</v>
      </c>
      <c r="J47" s="4" t="s">
        <v>10</v>
      </c>
      <c r="K47" s="1" t="s">
        <v>13</v>
      </c>
      <c r="L47" s="1" t="s">
        <v>14</v>
      </c>
    </row>
    <row r="48" spans="1:12" x14ac:dyDescent="0.2">
      <c r="A48" s="64">
        <v>31</v>
      </c>
      <c r="B48" s="66" t="s">
        <v>242</v>
      </c>
      <c r="C48" s="2" t="s">
        <v>7</v>
      </c>
      <c r="D48" s="1" t="s">
        <v>20</v>
      </c>
      <c r="E48" s="2" t="s">
        <v>21</v>
      </c>
      <c r="G48" s="70">
        <v>0</v>
      </c>
      <c r="H48" s="3" t="s">
        <v>10</v>
      </c>
      <c r="I48" s="101">
        <v>1.2734138972809601</v>
      </c>
      <c r="J48" s="4" t="s">
        <v>10</v>
      </c>
      <c r="K48" s="1" t="s">
        <v>13</v>
      </c>
      <c r="L48" s="1" t="s">
        <v>12</v>
      </c>
    </row>
    <row r="49" spans="1:12" x14ac:dyDescent="0.2">
      <c r="A49" s="64">
        <v>31</v>
      </c>
      <c r="B49" s="66" t="s">
        <v>242</v>
      </c>
      <c r="C49" s="2" t="s">
        <v>7</v>
      </c>
      <c r="D49" s="1" t="s">
        <v>20</v>
      </c>
      <c r="E49" s="2" t="s">
        <v>21</v>
      </c>
      <c r="G49" s="70">
        <v>1E-4</v>
      </c>
      <c r="H49" s="3" t="s">
        <v>10</v>
      </c>
      <c r="I49" s="101">
        <v>2.26132930513594</v>
      </c>
      <c r="J49" s="4" t="s">
        <v>10</v>
      </c>
      <c r="K49" s="1" t="s">
        <v>13</v>
      </c>
      <c r="L49" s="1" t="s">
        <v>12</v>
      </c>
    </row>
    <row r="50" spans="1:12" x14ac:dyDescent="0.2">
      <c r="A50" s="64">
        <v>31</v>
      </c>
      <c r="B50" s="66" t="s">
        <v>242</v>
      </c>
      <c r="C50" s="2" t="s">
        <v>7</v>
      </c>
      <c r="D50" s="1" t="s">
        <v>20</v>
      </c>
      <c r="E50" s="2" t="s">
        <v>21</v>
      </c>
      <c r="F50" s="2"/>
      <c r="G50" s="70">
        <v>1E-3</v>
      </c>
      <c r="H50" s="3" t="s">
        <v>10</v>
      </c>
      <c r="I50" s="101">
        <v>2.06193353474319</v>
      </c>
      <c r="J50" s="4" t="s">
        <v>10</v>
      </c>
      <c r="K50" s="1" t="s">
        <v>13</v>
      </c>
      <c r="L50" s="1" t="s">
        <v>12</v>
      </c>
    </row>
    <row r="51" spans="1:12" x14ac:dyDescent="0.2">
      <c r="A51" s="64">
        <v>31</v>
      </c>
      <c r="B51" s="66" t="s">
        <v>242</v>
      </c>
      <c r="C51" s="2" t="s">
        <v>7</v>
      </c>
      <c r="D51" s="1" t="s">
        <v>20</v>
      </c>
      <c r="E51" s="2" t="s">
        <v>21</v>
      </c>
      <c r="F51" s="2"/>
      <c r="G51" s="70">
        <v>0.01</v>
      </c>
      <c r="H51" s="3" t="s">
        <v>10</v>
      </c>
      <c r="I51" s="101">
        <v>3.7522658610271802</v>
      </c>
      <c r="J51" s="4" t="s">
        <v>10</v>
      </c>
      <c r="K51" s="1" t="s">
        <v>13</v>
      </c>
      <c r="L51" s="1" t="s">
        <v>16</v>
      </c>
    </row>
    <row r="52" spans="1:12" x14ac:dyDescent="0.2">
      <c r="A52" s="64">
        <v>31</v>
      </c>
      <c r="B52" s="66" t="s">
        <v>242</v>
      </c>
      <c r="C52" s="2" t="s">
        <v>7</v>
      </c>
      <c r="D52" s="1" t="s">
        <v>20</v>
      </c>
      <c r="E52" s="2" t="s">
        <v>21</v>
      </c>
      <c r="F52" s="2"/>
      <c r="G52" s="70">
        <v>0.1</v>
      </c>
      <c r="H52" s="3" t="s">
        <v>10</v>
      </c>
      <c r="I52" s="101">
        <v>1.2915407854984799</v>
      </c>
      <c r="J52" s="4" t="s">
        <v>10</v>
      </c>
      <c r="K52" s="1" t="s">
        <v>13</v>
      </c>
      <c r="L52" s="1" t="s">
        <v>12</v>
      </c>
    </row>
    <row r="53" spans="1:12" x14ac:dyDescent="0.2">
      <c r="A53" s="64">
        <v>36</v>
      </c>
      <c r="B53" s="66" t="s">
        <v>22</v>
      </c>
      <c r="C53" s="2" t="s">
        <v>7</v>
      </c>
      <c r="D53" s="1" t="s">
        <v>8</v>
      </c>
      <c r="E53" s="2" t="s">
        <v>7</v>
      </c>
      <c r="F53" s="1" t="s">
        <v>18</v>
      </c>
      <c r="G53" s="70">
        <v>0</v>
      </c>
      <c r="H53" s="3">
        <v>5.8572687613817401E-5</v>
      </c>
      <c r="I53" s="101">
        <v>1</v>
      </c>
      <c r="J53" s="4" t="s">
        <v>10</v>
      </c>
      <c r="K53" s="1" t="s">
        <v>11</v>
      </c>
      <c r="L53" s="1" t="s">
        <v>12</v>
      </c>
    </row>
    <row r="54" spans="1:12" x14ac:dyDescent="0.2">
      <c r="A54" s="64">
        <v>36</v>
      </c>
      <c r="B54" s="66" t="s">
        <v>22</v>
      </c>
      <c r="C54" s="2" t="s">
        <v>7</v>
      </c>
      <c r="D54" s="1" t="s">
        <v>8</v>
      </c>
      <c r="E54" s="2" t="s">
        <v>7</v>
      </c>
      <c r="F54" s="1" t="s">
        <v>18</v>
      </c>
      <c r="G54" s="70">
        <v>1.2500000000000001E-2</v>
      </c>
      <c r="H54" s="3">
        <v>7.67514130137944E-5</v>
      </c>
      <c r="I54" s="101">
        <v>1.3103618109490438</v>
      </c>
      <c r="J54" s="4" t="s">
        <v>10</v>
      </c>
      <c r="K54" s="1" t="s">
        <v>13</v>
      </c>
      <c r="L54" s="1" t="s">
        <v>16</v>
      </c>
    </row>
    <row r="55" spans="1:12" x14ac:dyDescent="0.2">
      <c r="A55" s="64">
        <v>36</v>
      </c>
      <c r="B55" s="66" t="s">
        <v>22</v>
      </c>
      <c r="C55" s="2" t="s">
        <v>7</v>
      </c>
      <c r="D55" s="1" t="s">
        <v>8</v>
      </c>
      <c r="E55" s="2" t="s">
        <v>7</v>
      </c>
      <c r="F55" s="1" t="s">
        <v>18</v>
      </c>
      <c r="G55" s="70">
        <v>2.5000000000000001E-2</v>
      </c>
      <c r="H55" s="3">
        <v>3.3964374956730697E-4</v>
      </c>
      <c r="I55" s="101">
        <v>5.7986710769813543</v>
      </c>
      <c r="J55" s="4" t="s">
        <v>10</v>
      </c>
      <c r="K55" s="1" t="s">
        <v>13</v>
      </c>
      <c r="L55" s="1" t="s">
        <v>14</v>
      </c>
    </row>
    <row r="56" spans="1:12" x14ac:dyDescent="0.2">
      <c r="A56" s="64">
        <v>36</v>
      </c>
      <c r="B56" s="66" t="s">
        <v>22</v>
      </c>
      <c r="C56" s="2" t="s">
        <v>7</v>
      </c>
      <c r="D56" s="1" t="s">
        <v>8</v>
      </c>
      <c r="E56" s="2" t="s">
        <v>7</v>
      </c>
      <c r="F56" s="1" t="s">
        <v>18</v>
      </c>
      <c r="G56" s="70">
        <v>0.05</v>
      </c>
      <c r="H56" s="3">
        <v>1.9701067335210301E-4</v>
      </c>
      <c r="I56" s="101">
        <v>3.3635245603042438</v>
      </c>
      <c r="J56" s="4" t="s">
        <v>10</v>
      </c>
      <c r="K56" s="1" t="s">
        <v>13</v>
      </c>
      <c r="L56" s="1" t="s">
        <v>14</v>
      </c>
    </row>
    <row r="57" spans="1:12" x14ac:dyDescent="0.2">
      <c r="A57" s="64">
        <v>36</v>
      </c>
      <c r="B57" s="66" t="s">
        <v>22</v>
      </c>
      <c r="C57" s="2" t="s">
        <v>7</v>
      </c>
      <c r="D57" s="1" t="s">
        <v>8</v>
      </c>
      <c r="E57" s="2" t="s">
        <v>7</v>
      </c>
      <c r="F57" s="1" t="s">
        <v>18</v>
      </c>
      <c r="G57" s="70">
        <v>0.1</v>
      </c>
      <c r="H57" s="3">
        <v>1.6484831302906699E-4</v>
      </c>
      <c r="I57" s="101">
        <v>2.8144228947790162</v>
      </c>
      <c r="J57" s="4" t="s">
        <v>10</v>
      </c>
      <c r="K57" s="1" t="s">
        <v>13</v>
      </c>
      <c r="L57" s="1" t="s">
        <v>14</v>
      </c>
    </row>
    <row r="58" spans="1:12" x14ac:dyDescent="0.2">
      <c r="A58" s="64">
        <v>36</v>
      </c>
      <c r="B58" s="66" t="s">
        <v>22</v>
      </c>
      <c r="C58" s="2" t="s">
        <v>7</v>
      </c>
      <c r="D58" s="1" t="s">
        <v>8</v>
      </c>
      <c r="E58" s="2" t="s">
        <v>7</v>
      </c>
      <c r="F58" s="1" t="s">
        <v>18</v>
      </c>
      <c r="G58" s="70">
        <v>0.2</v>
      </c>
      <c r="H58" s="3">
        <v>1.2429577175219499E-4</v>
      </c>
      <c r="I58" s="101">
        <v>2.1220773165080682</v>
      </c>
      <c r="J58" s="4" t="s">
        <v>10</v>
      </c>
      <c r="K58" s="1" t="s">
        <v>13</v>
      </c>
      <c r="L58" s="1" t="s">
        <v>14</v>
      </c>
    </row>
    <row r="59" spans="1:12" x14ac:dyDescent="0.2">
      <c r="A59" s="64">
        <v>36</v>
      </c>
      <c r="B59" s="66" t="s">
        <v>23</v>
      </c>
      <c r="C59" s="2" t="s">
        <v>7</v>
      </c>
      <c r="D59" s="1" t="s">
        <v>8</v>
      </c>
      <c r="E59" s="2" t="s">
        <v>7</v>
      </c>
      <c r="F59" s="1" t="s">
        <v>18</v>
      </c>
      <c r="G59" s="70">
        <v>0</v>
      </c>
      <c r="H59" s="3">
        <v>6.5822303492080596E-5</v>
      </c>
      <c r="I59" s="101">
        <v>1</v>
      </c>
      <c r="J59" s="4" t="s">
        <v>10</v>
      </c>
      <c r="K59" s="1" t="s">
        <v>11</v>
      </c>
      <c r="L59" s="1" t="s">
        <v>12</v>
      </c>
    </row>
    <row r="60" spans="1:12" x14ac:dyDescent="0.2">
      <c r="A60" s="64">
        <v>36</v>
      </c>
      <c r="B60" s="66" t="s">
        <v>23</v>
      </c>
      <c r="C60" s="2" t="s">
        <v>7</v>
      </c>
      <c r="D60" s="1" t="s">
        <v>8</v>
      </c>
      <c r="E60" s="2" t="s">
        <v>7</v>
      </c>
      <c r="F60" s="1" t="s">
        <v>18</v>
      </c>
      <c r="G60" s="70">
        <v>2.5000000000000001E-3</v>
      </c>
      <c r="H60" s="3">
        <v>7.2819322126250406E-5</v>
      </c>
      <c r="I60" s="101">
        <v>1.106301637331967</v>
      </c>
      <c r="J60" s="4" t="s">
        <v>10</v>
      </c>
      <c r="K60" s="1" t="s">
        <v>13</v>
      </c>
      <c r="L60" s="1" t="s">
        <v>12</v>
      </c>
    </row>
    <row r="61" spans="1:12" x14ac:dyDescent="0.2">
      <c r="A61" s="64">
        <v>36</v>
      </c>
      <c r="B61" s="66" t="s">
        <v>23</v>
      </c>
      <c r="C61" s="2" t="s">
        <v>7</v>
      </c>
      <c r="D61" s="1" t="s">
        <v>8</v>
      </c>
      <c r="E61" s="2" t="s">
        <v>7</v>
      </c>
      <c r="F61" s="1" t="s">
        <v>18</v>
      </c>
      <c r="G61" s="70">
        <v>5.0000000000000001E-3</v>
      </c>
      <c r="H61" s="3">
        <v>1.2621378256256999E-4</v>
      </c>
      <c r="I61" s="101">
        <v>1.9174926410430986</v>
      </c>
      <c r="J61" s="4" t="s">
        <v>10</v>
      </c>
      <c r="K61" s="1" t="s">
        <v>13</v>
      </c>
      <c r="L61" s="1" t="s">
        <v>14</v>
      </c>
    </row>
    <row r="62" spans="1:12" x14ac:dyDescent="0.2">
      <c r="A62" s="64">
        <v>36</v>
      </c>
      <c r="B62" s="66" t="s">
        <v>23</v>
      </c>
      <c r="C62" s="2" t="s">
        <v>7</v>
      </c>
      <c r="D62" s="1" t="s">
        <v>8</v>
      </c>
      <c r="E62" s="2" t="s">
        <v>7</v>
      </c>
      <c r="F62" s="1" t="s">
        <v>18</v>
      </c>
      <c r="G62" s="70">
        <v>0.01</v>
      </c>
      <c r="H62" s="5">
        <v>3.9431958869657398E-4</v>
      </c>
      <c r="I62" s="101">
        <v>5.9906683263373868</v>
      </c>
      <c r="J62" s="4" t="s">
        <v>10</v>
      </c>
      <c r="K62" s="1" t="s">
        <v>13</v>
      </c>
      <c r="L62" s="1" t="s">
        <v>14</v>
      </c>
    </row>
    <row r="63" spans="1:12" x14ac:dyDescent="0.2">
      <c r="A63" s="64">
        <v>36</v>
      </c>
      <c r="B63" s="66" t="s">
        <v>23</v>
      </c>
      <c r="C63" s="2" t="s">
        <v>7</v>
      </c>
      <c r="D63" s="1" t="s">
        <v>8</v>
      </c>
      <c r="E63" s="2" t="s">
        <v>7</v>
      </c>
      <c r="F63" s="1" t="s">
        <v>18</v>
      </c>
      <c r="G63" s="70">
        <v>0.02</v>
      </c>
      <c r="H63" s="5">
        <v>2.0816470280277E-4</v>
      </c>
      <c r="I63" s="101">
        <v>3.1625253410922531</v>
      </c>
      <c r="J63" s="4" t="s">
        <v>10</v>
      </c>
      <c r="K63" s="1" t="s">
        <v>13</v>
      </c>
      <c r="L63" s="1" t="s">
        <v>14</v>
      </c>
    </row>
    <row r="64" spans="1:12" x14ac:dyDescent="0.2">
      <c r="A64" s="64">
        <v>36</v>
      </c>
      <c r="B64" s="66" t="s">
        <v>23</v>
      </c>
      <c r="C64" s="2" t="s">
        <v>7</v>
      </c>
      <c r="D64" s="1" t="s">
        <v>8</v>
      </c>
      <c r="E64" s="2" t="s">
        <v>7</v>
      </c>
      <c r="F64" s="1" t="s">
        <v>18</v>
      </c>
      <c r="G64" s="70">
        <v>0.04</v>
      </c>
      <c r="H64" s="3">
        <v>1.1133667929480401E-4</v>
      </c>
      <c r="I64" s="101">
        <v>1.6914734579016892</v>
      </c>
      <c r="J64" s="4" t="s">
        <v>10</v>
      </c>
      <c r="K64" s="1" t="s">
        <v>13</v>
      </c>
      <c r="L64" s="1" t="s">
        <v>14</v>
      </c>
    </row>
    <row r="65" spans="1:12" x14ac:dyDescent="0.2">
      <c r="A65" s="64">
        <v>27</v>
      </c>
      <c r="B65" s="66" t="s">
        <v>24</v>
      </c>
      <c r="C65" s="2" t="s">
        <v>25</v>
      </c>
      <c r="D65" s="1" t="s">
        <v>26</v>
      </c>
      <c r="E65" s="2" t="s">
        <v>27</v>
      </c>
      <c r="G65" s="70">
        <v>0</v>
      </c>
      <c r="H65" s="3">
        <v>4.813141025641E-4</v>
      </c>
      <c r="I65" s="101">
        <v>1</v>
      </c>
      <c r="J65" s="4" t="s">
        <v>10</v>
      </c>
      <c r="K65" s="1" t="s">
        <v>11</v>
      </c>
      <c r="L65" s="1" t="s">
        <v>12</v>
      </c>
    </row>
    <row r="66" spans="1:12" x14ac:dyDescent="0.2">
      <c r="A66" s="64">
        <v>27</v>
      </c>
      <c r="B66" s="66" t="s">
        <v>24</v>
      </c>
      <c r="C66" s="2" t="s">
        <v>25</v>
      </c>
      <c r="D66" s="1" t="s">
        <v>26</v>
      </c>
      <c r="E66" s="2" t="s">
        <v>27</v>
      </c>
      <c r="G66" s="70">
        <v>0.5</v>
      </c>
      <c r="H66" s="3">
        <v>7.5285256410256298E-4</v>
      </c>
      <c r="I66" s="101">
        <v>1.5641606179663108</v>
      </c>
      <c r="J66" s="4" t="s">
        <v>10</v>
      </c>
      <c r="K66" s="1" t="s">
        <v>13</v>
      </c>
      <c r="L66" s="1" t="s">
        <v>28</v>
      </c>
    </row>
    <row r="67" spans="1:12" x14ac:dyDescent="0.2">
      <c r="A67" s="64">
        <v>27</v>
      </c>
      <c r="B67" s="66" t="s">
        <v>24</v>
      </c>
      <c r="C67" s="2" t="s">
        <v>25</v>
      </c>
      <c r="D67" s="1" t="s">
        <v>26</v>
      </c>
      <c r="E67" s="2" t="s">
        <v>27</v>
      </c>
      <c r="G67" s="70">
        <v>5</v>
      </c>
      <c r="H67" s="3">
        <v>1.05079059829059E-3</v>
      </c>
      <c r="I67" s="101">
        <v>2.1831701849015506</v>
      </c>
      <c r="J67" s="4" t="s">
        <v>10</v>
      </c>
      <c r="K67" s="1" t="s">
        <v>13</v>
      </c>
      <c r="L67" s="1" t="s">
        <v>28</v>
      </c>
    </row>
    <row r="68" spans="1:12" x14ac:dyDescent="0.2">
      <c r="A68" s="64">
        <v>27</v>
      </c>
      <c r="B68" s="66" t="s">
        <v>24</v>
      </c>
      <c r="C68" s="2" t="s">
        <v>25</v>
      </c>
      <c r="D68" s="1" t="s">
        <v>26</v>
      </c>
      <c r="E68" s="2" t="s">
        <v>27</v>
      </c>
      <c r="G68" s="70">
        <v>50</v>
      </c>
      <c r="H68" s="3">
        <v>2.6196794871794801E-3</v>
      </c>
      <c r="I68" s="101">
        <v>5.4427648664846648</v>
      </c>
      <c r="J68" s="4" t="s">
        <v>10</v>
      </c>
      <c r="K68" s="1" t="s">
        <v>13</v>
      </c>
      <c r="L68" s="1" t="s">
        <v>28</v>
      </c>
    </row>
    <row r="69" spans="1:12" x14ac:dyDescent="0.2">
      <c r="A69" s="64">
        <v>27</v>
      </c>
      <c r="B69" s="66" t="s">
        <v>29</v>
      </c>
      <c r="C69" s="2" t="s">
        <v>25</v>
      </c>
      <c r="D69" s="1" t="s">
        <v>26</v>
      </c>
      <c r="E69" s="2" t="s">
        <v>27</v>
      </c>
      <c r="G69" s="70">
        <v>0</v>
      </c>
      <c r="H69" s="3">
        <v>4.7754273504273199E-4</v>
      </c>
      <c r="I69" s="101">
        <v>1</v>
      </c>
      <c r="J69" s="4" t="s">
        <v>10</v>
      </c>
      <c r="K69" s="1" t="s">
        <v>11</v>
      </c>
      <c r="L69" s="1" t="s">
        <v>12</v>
      </c>
    </row>
    <row r="70" spans="1:12" x14ac:dyDescent="0.2">
      <c r="A70" s="64">
        <v>27</v>
      </c>
      <c r="B70" s="66" t="s">
        <v>29</v>
      </c>
      <c r="C70" s="2" t="s">
        <v>25</v>
      </c>
      <c r="D70" s="1" t="s">
        <v>26</v>
      </c>
      <c r="E70" s="2" t="s">
        <v>27</v>
      </c>
      <c r="G70" s="70">
        <v>0.5</v>
      </c>
      <c r="H70" s="3">
        <v>4.0965811965811802E-4</v>
      </c>
      <c r="I70" s="101">
        <v>0.8578459886348403</v>
      </c>
      <c r="J70" s="4" t="s">
        <v>10</v>
      </c>
      <c r="K70" s="1" t="s">
        <v>15</v>
      </c>
      <c r="L70" s="1" t="s">
        <v>12</v>
      </c>
    </row>
    <row r="71" spans="1:12" x14ac:dyDescent="0.2">
      <c r="A71" s="64">
        <v>27</v>
      </c>
      <c r="B71" s="66" t="s">
        <v>29</v>
      </c>
      <c r="C71" s="2" t="s">
        <v>25</v>
      </c>
      <c r="D71" s="1" t="s">
        <v>26</v>
      </c>
      <c r="E71" s="2" t="s">
        <v>27</v>
      </c>
      <c r="G71" s="70">
        <v>5</v>
      </c>
      <c r="H71" s="3">
        <v>1.4807264957264899E-3</v>
      </c>
      <c r="I71" s="101">
        <v>3.1007203901740645</v>
      </c>
      <c r="J71" s="4" t="s">
        <v>10</v>
      </c>
      <c r="K71" s="1" t="s">
        <v>13</v>
      </c>
      <c r="L71" s="1" t="s">
        <v>28</v>
      </c>
    </row>
    <row r="72" spans="1:12" x14ac:dyDescent="0.2">
      <c r="A72" s="64">
        <v>27</v>
      </c>
      <c r="B72" s="66" t="s">
        <v>29</v>
      </c>
      <c r="C72" s="2" t="s">
        <v>25</v>
      </c>
      <c r="D72" s="1" t="s">
        <v>26</v>
      </c>
      <c r="E72" s="2" t="s">
        <v>27</v>
      </c>
      <c r="G72" s="70">
        <v>50</v>
      </c>
      <c r="H72" s="3">
        <v>6.6988247863247698E-4</v>
      </c>
      <c r="I72" s="101">
        <v>1.4027696988679639</v>
      </c>
      <c r="J72" s="4" t="s">
        <v>10</v>
      </c>
      <c r="K72" s="1" t="s">
        <v>13</v>
      </c>
      <c r="L72" s="1" t="s">
        <v>16</v>
      </c>
    </row>
    <row r="73" spans="1:12" x14ac:dyDescent="0.2">
      <c r="A73" s="64">
        <v>27</v>
      </c>
      <c r="B73" s="66" t="s">
        <v>30</v>
      </c>
      <c r="C73" s="2" t="s">
        <v>25</v>
      </c>
      <c r="D73" s="1" t="s">
        <v>26</v>
      </c>
      <c r="E73" s="2" t="s">
        <v>27</v>
      </c>
      <c r="G73" s="70">
        <v>0</v>
      </c>
      <c r="H73" s="3">
        <v>4.7377136752136599E-4</v>
      </c>
      <c r="I73" s="101">
        <v>1</v>
      </c>
      <c r="J73" s="4" t="s">
        <v>10</v>
      </c>
      <c r="K73" s="1" t="s">
        <v>11</v>
      </c>
      <c r="L73" s="1" t="s">
        <v>12</v>
      </c>
    </row>
    <row r="74" spans="1:12" x14ac:dyDescent="0.2">
      <c r="A74" s="64">
        <v>27</v>
      </c>
      <c r="B74" s="66" t="s">
        <v>30</v>
      </c>
      <c r="C74" s="2" t="s">
        <v>25</v>
      </c>
      <c r="D74" s="1" t="s">
        <v>26</v>
      </c>
      <c r="E74" s="2" t="s">
        <v>27</v>
      </c>
      <c r="G74" s="70">
        <v>0.5</v>
      </c>
      <c r="H74" s="3">
        <v>7.1513888888888799E-4</v>
      </c>
      <c r="I74" s="101">
        <v>1.5094599165633134</v>
      </c>
      <c r="J74" s="4" t="s">
        <v>10</v>
      </c>
      <c r="K74" s="1" t="s">
        <v>13</v>
      </c>
      <c r="L74" s="1" t="s">
        <v>14</v>
      </c>
    </row>
    <row r="75" spans="1:12" x14ac:dyDescent="0.2">
      <c r="A75" s="64">
        <v>27</v>
      </c>
      <c r="B75" s="66" t="s">
        <v>30</v>
      </c>
      <c r="C75" s="2" t="s">
        <v>25</v>
      </c>
      <c r="D75" s="1" t="s">
        <v>26</v>
      </c>
      <c r="E75" s="2" t="s">
        <v>27</v>
      </c>
      <c r="G75" s="70">
        <v>5</v>
      </c>
      <c r="H75" s="3">
        <v>6.2462606837606705E-4</v>
      </c>
      <c r="I75" s="101">
        <v>1.3184124478520705</v>
      </c>
      <c r="J75" s="4" t="s">
        <v>10</v>
      </c>
      <c r="K75" s="1" t="s">
        <v>13</v>
      </c>
      <c r="L75" s="1" t="s">
        <v>12</v>
      </c>
    </row>
    <row r="76" spans="1:12" x14ac:dyDescent="0.2">
      <c r="A76" s="64">
        <v>27</v>
      </c>
      <c r="B76" s="66" t="s">
        <v>30</v>
      </c>
      <c r="C76" s="2" t="s">
        <v>25</v>
      </c>
      <c r="D76" s="1" t="s">
        <v>26</v>
      </c>
      <c r="E76" s="2" t="s">
        <v>27</v>
      </c>
      <c r="G76" s="70">
        <v>50</v>
      </c>
      <c r="H76" s="3">
        <v>3.83258547008545E-4</v>
      </c>
      <c r="I76" s="101">
        <v>0.80895253128875699</v>
      </c>
      <c r="J76" s="4" t="s">
        <v>10</v>
      </c>
      <c r="K76" s="1" t="s">
        <v>15</v>
      </c>
      <c r="L76" s="1" t="s">
        <v>12</v>
      </c>
    </row>
    <row r="77" spans="1:12" x14ac:dyDescent="0.2">
      <c r="A77" s="64">
        <v>27</v>
      </c>
      <c r="B77" s="66" t="s">
        <v>31</v>
      </c>
      <c r="C77" s="2" t="s">
        <v>25</v>
      </c>
      <c r="D77" s="1" t="s">
        <v>26</v>
      </c>
      <c r="E77" s="2" t="s">
        <v>27</v>
      </c>
      <c r="G77" s="70">
        <v>0</v>
      </c>
      <c r="H77" s="3">
        <v>4.7377136752136599E-4</v>
      </c>
      <c r="I77" s="101">
        <v>1</v>
      </c>
      <c r="J77" s="4" t="s">
        <v>10</v>
      </c>
      <c r="K77" s="1" t="s">
        <v>11</v>
      </c>
      <c r="L77" s="1" t="s">
        <v>12</v>
      </c>
    </row>
    <row r="78" spans="1:12" x14ac:dyDescent="0.2">
      <c r="A78" s="64">
        <v>27</v>
      </c>
      <c r="B78" s="66" t="s">
        <v>31</v>
      </c>
      <c r="C78" s="2" t="s">
        <v>25</v>
      </c>
      <c r="D78" s="1" t="s">
        <v>26</v>
      </c>
      <c r="E78" s="2" t="s">
        <v>27</v>
      </c>
      <c r="G78" s="70">
        <v>0.5</v>
      </c>
      <c r="H78" s="3">
        <v>5.4919871794871695E-4</v>
      </c>
      <c r="I78" s="101">
        <v>1.1592062239260361</v>
      </c>
      <c r="J78" s="4" t="s">
        <v>10</v>
      </c>
      <c r="K78" s="1" t="s">
        <v>13</v>
      </c>
      <c r="L78" s="1" t="s">
        <v>12</v>
      </c>
    </row>
    <row r="79" spans="1:12" x14ac:dyDescent="0.2">
      <c r="A79" s="64">
        <v>27</v>
      </c>
      <c r="B79" s="66" t="s">
        <v>31</v>
      </c>
      <c r="C79" s="2" t="s">
        <v>25</v>
      </c>
      <c r="D79" s="1" t="s">
        <v>26</v>
      </c>
      <c r="E79" s="2" t="s">
        <v>27</v>
      </c>
      <c r="G79" s="70">
        <v>5</v>
      </c>
      <c r="H79" s="3">
        <v>4.4360042735042598E-4</v>
      </c>
      <c r="I79" s="101">
        <v>0.93631751042958633</v>
      </c>
      <c r="J79" s="4" t="s">
        <v>10</v>
      </c>
      <c r="K79" s="1" t="s">
        <v>15</v>
      </c>
      <c r="L79" s="1" t="s">
        <v>12</v>
      </c>
    </row>
    <row r="80" spans="1:12" x14ac:dyDescent="0.2">
      <c r="A80" s="64">
        <v>27</v>
      </c>
      <c r="B80" s="66" t="s">
        <v>31</v>
      </c>
      <c r="C80" s="2" t="s">
        <v>25</v>
      </c>
      <c r="D80" s="1" t="s">
        <v>26</v>
      </c>
      <c r="E80" s="2" t="s">
        <v>27</v>
      </c>
      <c r="G80" s="70">
        <v>50</v>
      </c>
      <c r="H80" s="3">
        <v>6.8496794871794695E-4</v>
      </c>
      <c r="I80" s="101">
        <v>1.4457774269928976</v>
      </c>
      <c r="J80" s="4" t="s">
        <v>10</v>
      </c>
      <c r="K80" s="1" t="s">
        <v>13</v>
      </c>
      <c r="L80" s="1" t="s">
        <v>14</v>
      </c>
    </row>
    <row r="81" spans="1:12" x14ac:dyDescent="0.2">
      <c r="A81" s="64">
        <v>27</v>
      </c>
      <c r="B81" s="66" t="s">
        <v>32</v>
      </c>
      <c r="C81" s="2" t="s">
        <v>25</v>
      </c>
      <c r="D81" s="1" t="s">
        <v>26</v>
      </c>
      <c r="E81" s="2" t="s">
        <v>27</v>
      </c>
      <c r="G81" s="70">
        <v>0</v>
      </c>
      <c r="H81" s="3">
        <v>4.7377136752136599E-4</v>
      </c>
      <c r="I81" s="101">
        <v>1</v>
      </c>
      <c r="J81" s="4" t="s">
        <v>10</v>
      </c>
      <c r="K81" s="1" t="s">
        <v>11</v>
      </c>
      <c r="L81" s="1" t="s">
        <v>12</v>
      </c>
    </row>
    <row r="82" spans="1:12" x14ac:dyDescent="0.2">
      <c r="A82" s="64">
        <v>27</v>
      </c>
      <c r="B82" s="66" t="s">
        <v>32</v>
      </c>
      <c r="C82" s="2" t="s">
        <v>25</v>
      </c>
      <c r="D82" s="1" t="s">
        <v>26</v>
      </c>
      <c r="E82" s="2" t="s">
        <v>27</v>
      </c>
      <c r="G82" s="70">
        <v>0.5</v>
      </c>
      <c r="H82" s="3">
        <v>8.0565170940170795E-4</v>
      </c>
      <c r="I82" s="101">
        <v>1.7005073852745543</v>
      </c>
      <c r="J82" s="4" t="s">
        <v>10</v>
      </c>
      <c r="K82" s="1" t="s">
        <v>13</v>
      </c>
      <c r="L82" s="1" t="s">
        <v>14</v>
      </c>
    </row>
    <row r="83" spans="1:12" x14ac:dyDescent="0.2">
      <c r="A83" s="64">
        <v>27</v>
      </c>
      <c r="B83" s="66" t="s">
        <v>32</v>
      </c>
      <c r="C83" s="2" t="s">
        <v>25</v>
      </c>
      <c r="D83" s="1" t="s">
        <v>26</v>
      </c>
      <c r="E83" s="2" t="s">
        <v>27</v>
      </c>
      <c r="G83" s="70">
        <v>5</v>
      </c>
      <c r="H83" s="3">
        <v>1.1827884615384599E-3</v>
      </c>
      <c r="I83" s="101">
        <v>2.4965385049047288</v>
      </c>
      <c r="J83" s="4" t="s">
        <v>10</v>
      </c>
      <c r="K83" s="1" t="s">
        <v>13</v>
      </c>
      <c r="L83" s="1" t="s">
        <v>28</v>
      </c>
    </row>
    <row r="84" spans="1:12" x14ac:dyDescent="0.2">
      <c r="A84" s="64">
        <v>27</v>
      </c>
      <c r="B84" s="66" t="s">
        <v>32</v>
      </c>
      <c r="C84" s="2" t="s">
        <v>25</v>
      </c>
      <c r="D84" s="1" t="s">
        <v>26</v>
      </c>
      <c r="E84" s="2" t="s">
        <v>27</v>
      </c>
      <c r="G84" s="70">
        <v>50</v>
      </c>
      <c r="H84" s="3">
        <v>8.6599358974358796E-4</v>
      </c>
      <c r="I84" s="101">
        <v>1.8278723644153816</v>
      </c>
      <c r="J84" s="4" t="s">
        <v>10</v>
      </c>
      <c r="K84" s="1" t="s">
        <v>13</v>
      </c>
      <c r="L84" s="1" t="s">
        <v>14</v>
      </c>
    </row>
    <row r="85" spans="1:12" x14ac:dyDescent="0.2">
      <c r="A85" s="64">
        <v>27</v>
      </c>
      <c r="B85" s="66" t="s">
        <v>33</v>
      </c>
      <c r="C85" s="2" t="s">
        <v>25</v>
      </c>
      <c r="D85" s="1" t="s">
        <v>26</v>
      </c>
      <c r="E85" s="2" t="s">
        <v>27</v>
      </c>
      <c r="G85" s="70">
        <v>0</v>
      </c>
      <c r="H85" s="3">
        <v>4.7377136752136599E-4</v>
      </c>
      <c r="I85" s="101">
        <v>1</v>
      </c>
      <c r="J85" s="4" t="s">
        <v>10</v>
      </c>
      <c r="K85" s="1" t="s">
        <v>11</v>
      </c>
      <c r="L85" s="1" t="s">
        <v>12</v>
      </c>
    </row>
    <row r="86" spans="1:12" x14ac:dyDescent="0.2">
      <c r="A86" s="64">
        <v>27</v>
      </c>
      <c r="B86" s="66" t="s">
        <v>33</v>
      </c>
      <c r="C86" s="2" t="s">
        <v>25</v>
      </c>
      <c r="D86" s="1" t="s">
        <v>26</v>
      </c>
      <c r="E86" s="2" t="s">
        <v>27</v>
      </c>
      <c r="G86" s="70">
        <v>0.5</v>
      </c>
      <c r="H86" s="3">
        <v>9.1502136752136698E-4</v>
      </c>
      <c r="I86" s="101">
        <v>1.9313564099673068</v>
      </c>
      <c r="J86" s="4" t="s">
        <v>10</v>
      </c>
      <c r="K86" s="1" t="s">
        <v>13</v>
      </c>
      <c r="L86" s="1" t="s">
        <v>28</v>
      </c>
    </row>
    <row r="87" spans="1:12" x14ac:dyDescent="0.2">
      <c r="A87" s="64">
        <v>27</v>
      </c>
      <c r="B87" s="66" t="s">
        <v>33</v>
      </c>
      <c r="C87" s="2" t="s">
        <v>25</v>
      </c>
      <c r="D87" s="1" t="s">
        <v>26</v>
      </c>
      <c r="E87" s="2" t="s">
        <v>27</v>
      </c>
      <c r="G87" s="70">
        <v>5</v>
      </c>
      <c r="H87" s="3">
        <v>5.1148504273504001E-4</v>
      </c>
      <c r="I87" s="101">
        <v>1.0796031119630149</v>
      </c>
      <c r="J87" s="4" t="s">
        <v>10</v>
      </c>
      <c r="K87" s="1" t="s">
        <v>13</v>
      </c>
      <c r="L87" s="1" t="s">
        <v>12</v>
      </c>
    </row>
    <row r="88" spans="1:12" x14ac:dyDescent="0.2">
      <c r="A88" s="64">
        <v>27</v>
      </c>
      <c r="B88" s="66" t="s">
        <v>33</v>
      </c>
      <c r="C88" s="2" t="s">
        <v>25</v>
      </c>
      <c r="D88" s="1" t="s">
        <v>26</v>
      </c>
      <c r="E88" s="2" t="s">
        <v>27</v>
      </c>
      <c r="G88" s="70">
        <v>50</v>
      </c>
      <c r="H88" s="3">
        <v>8.7353632478632301E-4</v>
      </c>
      <c r="I88" s="101">
        <v>1.843792986807985</v>
      </c>
      <c r="J88" s="4" t="s">
        <v>10</v>
      </c>
      <c r="K88" s="1" t="s">
        <v>13</v>
      </c>
      <c r="L88" s="1" t="s">
        <v>28</v>
      </c>
    </row>
    <row r="89" spans="1:12" x14ac:dyDescent="0.2">
      <c r="A89" s="65">
        <v>10</v>
      </c>
      <c r="B89" s="66" t="s">
        <v>243</v>
      </c>
      <c r="C89" s="2" t="s">
        <v>7</v>
      </c>
      <c r="D89" s="1" t="s">
        <v>8</v>
      </c>
      <c r="E89" s="2" t="s">
        <v>7</v>
      </c>
      <c r="F89" s="1" t="s">
        <v>9</v>
      </c>
      <c r="G89" s="70">
        <v>0</v>
      </c>
      <c r="H89" s="3" t="s">
        <v>10</v>
      </c>
      <c r="I89" s="101">
        <v>0.962861072902361</v>
      </c>
      <c r="J89" s="4" t="s">
        <v>10</v>
      </c>
      <c r="K89" s="1" t="s">
        <v>11</v>
      </c>
      <c r="L89" s="1" t="s">
        <v>12</v>
      </c>
    </row>
    <row r="90" spans="1:12" x14ac:dyDescent="0.2">
      <c r="A90" s="65">
        <v>10</v>
      </c>
      <c r="B90" s="66" t="s">
        <v>243</v>
      </c>
      <c r="C90" s="2" t="s">
        <v>7</v>
      </c>
      <c r="D90" s="1" t="s">
        <v>8</v>
      </c>
      <c r="E90" s="2" t="s">
        <v>7</v>
      </c>
      <c r="F90" s="1" t="s">
        <v>9</v>
      </c>
      <c r="G90" s="70">
        <v>4.0000000000000002E-4</v>
      </c>
      <c r="H90" s="3" t="s">
        <v>10</v>
      </c>
      <c r="I90" s="101">
        <v>0.55845942228336798</v>
      </c>
      <c r="J90" s="4" t="s">
        <v>10</v>
      </c>
      <c r="K90" s="1" t="s">
        <v>15</v>
      </c>
      <c r="L90" s="1" t="s">
        <v>12</v>
      </c>
    </row>
    <row r="91" spans="1:12" x14ac:dyDescent="0.2">
      <c r="A91" s="65">
        <v>10</v>
      </c>
      <c r="B91" s="66" t="s">
        <v>243</v>
      </c>
      <c r="C91" s="2" t="s">
        <v>7</v>
      </c>
      <c r="D91" s="1" t="s">
        <v>8</v>
      </c>
      <c r="E91" s="2" t="s">
        <v>7</v>
      </c>
      <c r="F91" s="1" t="s">
        <v>9</v>
      </c>
      <c r="G91" s="70">
        <v>4.0000000000000001E-3</v>
      </c>
      <c r="H91" s="3" t="s">
        <v>10</v>
      </c>
      <c r="I91" s="101">
        <v>1.79092159559835</v>
      </c>
      <c r="J91" s="4" t="s">
        <v>10</v>
      </c>
      <c r="K91" s="1" t="s">
        <v>13</v>
      </c>
      <c r="L91" s="1" t="s">
        <v>12</v>
      </c>
    </row>
    <row r="92" spans="1:12" x14ac:dyDescent="0.2">
      <c r="A92" s="65">
        <v>10</v>
      </c>
      <c r="B92" s="66" t="s">
        <v>243</v>
      </c>
      <c r="C92" s="2" t="s">
        <v>7</v>
      </c>
      <c r="D92" s="1" t="s">
        <v>8</v>
      </c>
      <c r="E92" s="2" t="s">
        <v>7</v>
      </c>
      <c r="F92" s="1" t="s">
        <v>9</v>
      </c>
      <c r="G92" s="70">
        <v>0.04</v>
      </c>
      <c r="H92" s="3" t="s">
        <v>10</v>
      </c>
      <c r="I92" s="101">
        <v>2.6960110041265399</v>
      </c>
      <c r="J92" s="4" t="s">
        <v>10</v>
      </c>
      <c r="K92" s="1" t="s">
        <v>13</v>
      </c>
      <c r="L92" s="1" t="s">
        <v>16</v>
      </c>
    </row>
    <row r="93" spans="1:12" x14ac:dyDescent="0.2">
      <c r="A93" s="65">
        <v>10</v>
      </c>
      <c r="B93" s="66" t="s">
        <v>243</v>
      </c>
      <c r="C93" s="2" t="s">
        <v>7</v>
      </c>
      <c r="D93" s="1" t="s">
        <v>8</v>
      </c>
      <c r="E93" s="2" t="s">
        <v>7</v>
      </c>
      <c r="F93" s="1" t="s">
        <v>9</v>
      </c>
      <c r="G93" s="70">
        <v>0.4</v>
      </c>
      <c r="H93" s="3" t="s">
        <v>10</v>
      </c>
      <c r="I93" s="101">
        <v>2.9848693259972401</v>
      </c>
      <c r="J93" s="4" t="s">
        <v>10</v>
      </c>
      <c r="K93" s="1" t="s">
        <v>13</v>
      </c>
      <c r="L93" s="1" t="s">
        <v>14</v>
      </c>
    </row>
    <row r="94" spans="1:12" x14ac:dyDescent="0.2">
      <c r="A94" s="65">
        <v>10</v>
      </c>
      <c r="B94" s="66" t="s">
        <v>244</v>
      </c>
      <c r="C94" s="2" t="s">
        <v>7</v>
      </c>
      <c r="D94" s="1" t="s">
        <v>8</v>
      </c>
      <c r="E94" s="2" t="s">
        <v>7</v>
      </c>
      <c r="F94" s="1" t="s">
        <v>9</v>
      </c>
      <c r="G94" s="70">
        <v>0</v>
      </c>
      <c r="H94" s="3" t="s">
        <v>10</v>
      </c>
      <c r="I94" s="101">
        <v>1.0013755158184501</v>
      </c>
      <c r="J94" s="4" t="s">
        <v>10</v>
      </c>
      <c r="K94" s="1" t="s">
        <v>11</v>
      </c>
      <c r="L94" s="1" t="s">
        <v>12</v>
      </c>
    </row>
    <row r="95" spans="1:12" x14ac:dyDescent="0.2">
      <c r="A95" s="65">
        <v>10</v>
      </c>
      <c r="B95" s="66" t="s">
        <v>244</v>
      </c>
      <c r="C95" s="2" t="s">
        <v>7</v>
      </c>
      <c r="D95" s="1" t="s">
        <v>8</v>
      </c>
      <c r="E95" s="2" t="s">
        <v>7</v>
      </c>
      <c r="F95" s="1" t="s">
        <v>9</v>
      </c>
      <c r="G95" s="70">
        <v>4.0000000000000002E-4</v>
      </c>
      <c r="H95" s="3" t="s">
        <v>10</v>
      </c>
      <c r="I95" s="101">
        <v>2.8693259972489602</v>
      </c>
      <c r="J95" s="4" t="s">
        <v>10</v>
      </c>
      <c r="K95" s="1" t="s">
        <v>13</v>
      </c>
      <c r="L95" s="1" t="s">
        <v>16</v>
      </c>
    </row>
    <row r="96" spans="1:12" x14ac:dyDescent="0.2">
      <c r="A96" s="65">
        <v>10</v>
      </c>
      <c r="B96" s="66" t="s">
        <v>244</v>
      </c>
      <c r="C96" s="2" t="s">
        <v>7</v>
      </c>
      <c r="D96" s="1" t="s">
        <v>8</v>
      </c>
      <c r="E96" s="2" t="s">
        <v>7</v>
      </c>
      <c r="F96" s="1" t="s">
        <v>9</v>
      </c>
      <c r="G96" s="70">
        <v>4.0000000000000001E-3</v>
      </c>
      <c r="H96" s="3" t="s">
        <v>10</v>
      </c>
      <c r="I96" s="101">
        <v>5.6231086657496503</v>
      </c>
      <c r="J96" s="4" t="s">
        <v>10</v>
      </c>
      <c r="K96" s="1" t="s">
        <v>34</v>
      </c>
      <c r="L96" s="1" t="s">
        <v>14</v>
      </c>
    </row>
    <row r="97" spans="1:12" x14ac:dyDescent="0.2">
      <c r="A97" s="65">
        <v>10</v>
      </c>
      <c r="B97" s="66" t="s">
        <v>244</v>
      </c>
      <c r="C97" s="2" t="s">
        <v>7</v>
      </c>
      <c r="D97" s="1" t="s">
        <v>8</v>
      </c>
      <c r="E97" s="2" t="s">
        <v>7</v>
      </c>
      <c r="F97" s="1" t="s">
        <v>9</v>
      </c>
      <c r="G97" s="70">
        <v>0.04</v>
      </c>
      <c r="H97" s="3" t="s">
        <v>10</v>
      </c>
      <c r="I97" s="101">
        <v>10.8418156808803</v>
      </c>
      <c r="J97" s="4" t="s">
        <v>10</v>
      </c>
      <c r="K97" s="1" t="s">
        <v>13</v>
      </c>
      <c r="L97" s="1" t="s">
        <v>14</v>
      </c>
    </row>
    <row r="98" spans="1:12" x14ac:dyDescent="0.2">
      <c r="A98" s="65">
        <v>10</v>
      </c>
      <c r="B98" s="66" t="s">
        <v>244</v>
      </c>
      <c r="C98" s="2" t="s">
        <v>7</v>
      </c>
      <c r="D98" s="1" t="s">
        <v>8</v>
      </c>
      <c r="E98" s="2" t="s">
        <v>7</v>
      </c>
      <c r="F98" s="1" t="s">
        <v>9</v>
      </c>
      <c r="G98" s="70">
        <v>0.4</v>
      </c>
      <c r="H98" s="3" t="s">
        <v>10</v>
      </c>
      <c r="I98" s="101">
        <v>12.632737276478601</v>
      </c>
      <c r="J98" s="4" t="s">
        <v>10</v>
      </c>
      <c r="K98" s="1" t="s">
        <v>13</v>
      </c>
      <c r="L98" s="1" t="s">
        <v>14</v>
      </c>
    </row>
    <row r="99" spans="1:12" x14ac:dyDescent="0.2">
      <c r="A99" s="65">
        <v>1</v>
      </c>
      <c r="B99" s="66" t="s">
        <v>245</v>
      </c>
      <c r="C99" s="2" t="s">
        <v>7</v>
      </c>
      <c r="D99" s="1" t="s">
        <v>20</v>
      </c>
      <c r="E99" s="2" t="s">
        <v>7</v>
      </c>
      <c r="F99" s="1" t="s">
        <v>35</v>
      </c>
      <c r="G99" s="70">
        <v>0</v>
      </c>
      <c r="H99" s="3">
        <v>1.78</v>
      </c>
      <c r="I99" s="101">
        <v>1</v>
      </c>
      <c r="J99" s="4" t="s">
        <v>10</v>
      </c>
      <c r="K99" s="1" t="s">
        <v>11</v>
      </c>
      <c r="L99" s="1" t="s">
        <v>36</v>
      </c>
    </row>
    <row r="100" spans="1:12" x14ac:dyDescent="0.2">
      <c r="A100" s="65">
        <v>1</v>
      </c>
      <c r="B100" s="66" t="s">
        <v>245</v>
      </c>
      <c r="C100" s="2" t="s">
        <v>7</v>
      </c>
      <c r="D100" s="1" t="s">
        <v>20</v>
      </c>
      <c r="E100" s="2" t="s">
        <v>7</v>
      </c>
      <c r="F100" s="1" t="s">
        <v>35</v>
      </c>
      <c r="G100" s="70">
        <v>1E-3</v>
      </c>
      <c r="H100" s="3">
        <v>2.37</v>
      </c>
      <c r="I100" s="101">
        <v>1.34</v>
      </c>
      <c r="J100" s="4" t="s">
        <v>10</v>
      </c>
      <c r="K100" s="1" t="s">
        <v>13</v>
      </c>
      <c r="L100" s="1" t="s">
        <v>36</v>
      </c>
    </row>
    <row r="101" spans="1:12" x14ac:dyDescent="0.2">
      <c r="A101" s="65">
        <v>1</v>
      </c>
      <c r="B101" s="66" t="s">
        <v>245</v>
      </c>
      <c r="C101" s="2" t="s">
        <v>7</v>
      </c>
      <c r="D101" s="1" t="s">
        <v>20</v>
      </c>
      <c r="E101" s="2" t="s">
        <v>7</v>
      </c>
      <c r="F101" s="1" t="s">
        <v>35</v>
      </c>
      <c r="G101" s="70">
        <v>0.01</v>
      </c>
      <c r="H101" s="3">
        <v>2.2200000000000002</v>
      </c>
      <c r="I101" s="101">
        <v>1.26</v>
      </c>
      <c r="J101" s="4" t="s">
        <v>10</v>
      </c>
      <c r="K101" s="1" t="s">
        <v>13</v>
      </c>
      <c r="L101" s="1" t="s">
        <v>36</v>
      </c>
    </row>
    <row r="102" spans="1:12" x14ac:dyDescent="0.2">
      <c r="A102" s="65">
        <v>1</v>
      </c>
      <c r="B102" s="66" t="s">
        <v>245</v>
      </c>
      <c r="C102" s="2" t="s">
        <v>7</v>
      </c>
      <c r="D102" s="1" t="s">
        <v>20</v>
      </c>
      <c r="E102" s="2" t="s">
        <v>7</v>
      </c>
      <c r="F102" s="1" t="s">
        <v>35</v>
      </c>
      <c r="G102" s="70">
        <v>0.1</v>
      </c>
      <c r="H102" s="3">
        <v>3</v>
      </c>
      <c r="I102" s="101">
        <v>1.79</v>
      </c>
      <c r="J102" s="4" t="s">
        <v>10</v>
      </c>
      <c r="K102" s="1" t="s">
        <v>13</v>
      </c>
      <c r="L102" s="1" t="s">
        <v>36</v>
      </c>
    </row>
    <row r="103" spans="1:12" x14ac:dyDescent="0.2">
      <c r="A103" s="65">
        <v>1</v>
      </c>
      <c r="B103" s="66" t="s">
        <v>245</v>
      </c>
      <c r="C103" s="2" t="s">
        <v>7</v>
      </c>
      <c r="D103" s="1" t="s">
        <v>20</v>
      </c>
      <c r="E103" s="2" t="s">
        <v>7</v>
      </c>
      <c r="F103" s="1" t="s">
        <v>35</v>
      </c>
      <c r="G103" s="70">
        <v>1</v>
      </c>
      <c r="H103" s="3">
        <v>2.4</v>
      </c>
      <c r="I103" s="101">
        <v>1.3</v>
      </c>
      <c r="J103" s="4" t="s">
        <v>10</v>
      </c>
      <c r="K103" s="1" t="s">
        <v>13</v>
      </c>
      <c r="L103" s="1" t="s">
        <v>36</v>
      </c>
    </row>
    <row r="104" spans="1:12" x14ac:dyDescent="0.2">
      <c r="A104" s="65">
        <v>1</v>
      </c>
      <c r="B104" s="66" t="s">
        <v>245</v>
      </c>
      <c r="C104" s="2" t="s">
        <v>7</v>
      </c>
      <c r="D104" s="1" t="s">
        <v>20</v>
      </c>
      <c r="E104" s="2" t="s">
        <v>7</v>
      </c>
      <c r="F104" s="1" t="s">
        <v>35</v>
      </c>
      <c r="G104" s="70">
        <v>10</v>
      </c>
      <c r="H104" s="3">
        <v>2.63</v>
      </c>
      <c r="I104" s="101">
        <v>1.58</v>
      </c>
      <c r="J104" s="4" t="s">
        <v>10</v>
      </c>
      <c r="K104" s="1" t="s">
        <v>13</v>
      </c>
      <c r="L104" s="1" t="s">
        <v>36</v>
      </c>
    </row>
    <row r="105" spans="1:12" x14ac:dyDescent="0.2">
      <c r="A105" s="65">
        <v>1</v>
      </c>
      <c r="B105" s="66" t="s">
        <v>246</v>
      </c>
      <c r="C105" s="2" t="s">
        <v>7</v>
      </c>
      <c r="D105" s="1" t="s">
        <v>20</v>
      </c>
      <c r="E105" s="2" t="s">
        <v>7</v>
      </c>
      <c r="F105" s="1" t="s">
        <v>35</v>
      </c>
      <c r="G105" s="70">
        <v>0</v>
      </c>
      <c r="H105" s="3">
        <v>1.78</v>
      </c>
      <c r="I105" s="101">
        <v>1</v>
      </c>
      <c r="J105" s="4" t="s">
        <v>10</v>
      </c>
      <c r="K105" s="1" t="s">
        <v>11</v>
      </c>
      <c r="L105" s="1" t="s">
        <v>36</v>
      </c>
    </row>
    <row r="106" spans="1:12" x14ac:dyDescent="0.2">
      <c r="A106" s="65">
        <v>1</v>
      </c>
      <c r="B106" s="66" t="s">
        <v>246</v>
      </c>
      <c r="C106" s="2" t="s">
        <v>7</v>
      </c>
      <c r="D106" s="1" t="s">
        <v>20</v>
      </c>
      <c r="E106" s="2" t="s">
        <v>7</v>
      </c>
      <c r="F106" s="1" t="s">
        <v>35</v>
      </c>
      <c r="G106" s="70">
        <v>1E-3</v>
      </c>
      <c r="H106" s="3">
        <v>2.29</v>
      </c>
      <c r="I106" s="101">
        <v>1.27</v>
      </c>
      <c r="J106" s="4" t="s">
        <v>10</v>
      </c>
      <c r="K106" s="1" t="s">
        <v>13</v>
      </c>
      <c r="L106" s="1" t="s">
        <v>36</v>
      </c>
    </row>
    <row r="107" spans="1:12" x14ac:dyDescent="0.2">
      <c r="A107" s="65">
        <v>1</v>
      </c>
      <c r="B107" s="66" t="s">
        <v>246</v>
      </c>
      <c r="C107" s="2" t="s">
        <v>7</v>
      </c>
      <c r="D107" s="1" t="s">
        <v>20</v>
      </c>
      <c r="E107" s="2" t="s">
        <v>7</v>
      </c>
      <c r="F107" s="1" t="s">
        <v>35</v>
      </c>
      <c r="G107" s="70">
        <v>0.01</v>
      </c>
      <c r="H107" s="3">
        <v>2.0499999999999998</v>
      </c>
      <c r="I107" s="101">
        <v>1.23</v>
      </c>
      <c r="J107" s="4" t="s">
        <v>10</v>
      </c>
      <c r="K107" s="1" t="s">
        <v>13</v>
      </c>
      <c r="L107" s="1" t="s">
        <v>36</v>
      </c>
    </row>
    <row r="108" spans="1:12" x14ac:dyDescent="0.2">
      <c r="A108" s="65">
        <v>1</v>
      </c>
      <c r="B108" s="66" t="s">
        <v>246</v>
      </c>
      <c r="C108" s="2" t="s">
        <v>7</v>
      </c>
      <c r="D108" s="1" t="s">
        <v>20</v>
      </c>
      <c r="E108" s="2" t="s">
        <v>7</v>
      </c>
      <c r="F108" s="1" t="s">
        <v>35</v>
      </c>
      <c r="G108" s="70">
        <v>0.1</v>
      </c>
      <c r="H108" s="3">
        <v>2.1</v>
      </c>
      <c r="I108" s="101">
        <v>1.22</v>
      </c>
      <c r="J108" s="4" t="s">
        <v>10</v>
      </c>
      <c r="K108" s="1" t="s">
        <v>13</v>
      </c>
      <c r="L108" s="1" t="s">
        <v>36</v>
      </c>
    </row>
    <row r="109" spans="1:12" x14ac:dyDescent="0.2">
      <c r="A109" s="65">
        <v>1</v>
      </c>
      <c r="B109" s="66" t="s">
        <v>246</v>
      </c>
      <c r="C109" s="2" t="s">
        <v>7</v>
      </c>
      <c r="D109" s="1" t="s">
        <v>20</v>
      </c>
      <c r="E109" s="2" t="s">
        <v>7</v>
      </c>
      <c r="F109" s="1" t="s">
        <v>35</v>
      </c>
      <c r="G109" s="70">
        <v>1</v>
      </c>
      <c r="H109" s="3">
        <v>2.74</v>
      </c>
      <c r="I109" s="101">
        <v>1.56</v>
      </c>
      <c r="J109" s="4" t="s">
        <v>10</v>
      </c>
      <c r="K109" s="1" t="s">
        <v>13</v>
      </c>
      <c r="L109" s="1" t="s">
        <v>36</v>
      </c>
    </row>
    <row r="110" spans="1:12" x14ac:dyDescent="0.2">
      <c r="A110" s="65">
        <v>1</v>
      </c>
      <c r="B110" s="66" t="s">
        <v>246</v>
      </c>
      <c r="C110" s="2" t="s">
        <v>7</v>
      </c>
      <c r="D110" s="1" t="s">
        <v>20</v>
      </c>
      <c r="E110" s="2" t="s">
        <v>7</v>
      </c>
      <c r="F110" s="1" t="s">
        <v>35</v>
      </c>
      <c r="G110" s="70">
        <v>10</v>
      </c>
      <c r="H110" s="3">
        <v>2.62</v>
      </c>
      <c r="I110" s="101">
        <v>1.47</v>
      </c>
      <c r="J110" s="4" t="s">
        <v>10</v>
      </c>
      <c r="K110" s="1" t="s">
        <v>13</v>
      </c>
      <c r="L110" s="1" t="s">
        <v>36</v>
      </c>
    </row>
    <row r="111" spans="1:12" x14ac:dyDescent="0.2">
      <c r="A111" s="65">
        <v>1</v>
      </c>
      <c r="B111" s="66" t="s">
        <v>524</v>
      </c>
      <c r="C111" s="2" t="s">
        <v>7</v>
      </c>
      <c r="D111" s="1" t="s">
        <v>20</v>
      </c>
      <c r="E111" s="2" t="s">
        <v>7</v>
      </c>
      <c r="F111" s="1" t="s">
        <v>35</v>
      </c>
      <c r="G111" s="70">
        <v>0</v>
      </c>
      <c r="H111" s="3">
        <v>1.78</v>
      </c>
      <c r="I111" s="101">
        <v>1</v>
      </c>
      <c r="J111" s="4" t="s">
        <v>10</v>
      </c>
      <c r="K111" s="1" t="s">
        <v>11</v>
      </c>
      <c r="L111" s="1" t="s">
        <v>36</v>
      </c>
    </row>
    <row r="112" spans="1:12" x14ac:dyDescent="0.2">
      <c r="A112" s="65">
        <v>1</v>
      </c>
      <c r="B112" s="66" t="s">
        <v>524</v>
      </c>
      <c r="C112" s="2" t="s">
        <v>7</v>
      </c>
      <c r="D112" s="1" t="s">
        <v>20</v>
      </c>
      <c r="E112" s="2" t="s">
        <v>7</v>
      </c>
      <c r="F112" s="1" t="s">
        <v>35</v>
      </c>
      <c r="G112" s="70">
        <v>1E-3</v>
      </c>
      <c r="H112" s="3">
        <v>2.84</v>
      </c>
      <c r="I112" s="101">
        <v>1.68</v>
      </c>
      <c r="J112" s="4" t="s">
        <v>10</v>
      </c>
      <c r="K112" s="1" t="s">
        <v>13</v>
      </c>
      <c r="L112" s="1" t="s">
        <v>36</v>
      </c>
    </row>
    <row r="113" spans="1:12" x14ac:dyDescent="0.2">
      <c r="A113" s="65">
        <v>1</v>
      </c>
      <c r="B113" s="66" t="s">
        <v>524</v>
      </c>
      <c r="C113" s="2" t="s">
        <v>7</v>
      </c>
      <c r="D113" s="1" t="s">
        <v>20</v>
      </c>
      <c r="E113" s="2" t="s">
        <v>7</v>
      </c>
      <c r="F113" s="1" t="s">
        <v>35</v>
      </c>
      <c r="G113" s="70">
        <v>0.01</v>
      </c>
      <c r="H113" s="3">
        <v>1.87</v>
      </c>
      <c r="I113" s="101">
        <v>1.03</v>
      </c>
      <c r="J113" s="4" t="s">
        <v>10</v>
      </c>
      <c r="K113" s="1" t="s">
        <v>13</v>
      </c>
      <c r="L113" s="1" t="s">
        <v>36</v>
      </c>
    </row>
    <row r="114" spans="1:12" x14ac:dyDescent="0.2">
      <c r="A114" s="65">
        <v>1</v>
      </c>
      <c r="B114" s="66" t="s">
        <v>524</v>
      </c>
      <c r="C114" s="2" t="s">
        <v>7</v>
      </c>
      <c r="D114" s="1" t="s">
        <v>20</v>
      </c>
      <c r="E114" s="2" t="s">
        <v>7</v>
      </c>
      <c r="F114" s="1" t="s">
        <v>35</v>
      </c>
      <c r="G114" s="70">
        <v>0.1</v>
      </c>
      <c r="H114" s="3">
        <v>2.27</v>
      </c>
      <c r="I114" s="101">
        <v>1.28</v>
      </c>
      <c r="J114" s="4" t="s">
        <v>10</v>
      </c>
      <c r="K114" s="1" t="s">
        <v>13</v>
      </c>
      <c r="L114" s="1" t="s">
        <v>36</v>
      </c>
    </row>
    <row r="115" spans="1:12" x14ac:dyDescent="0.2">
      <c r="A115" s="65">
        <v>1</v>
      </c>
      <c r="B115" s="66" t="s">
        <v>524</v>
      </c>
      <c r="C115" s="2" t="s">
        <v>7</v>
      </c>
      <c r="D115" s="1" t="s">
        <v>20</v>
      </c>
      <c r="E115" s="2" t="s">
        <v>7</v>
      </c>
      <c r="F115" s="1" t="s">
        <v>35</v>
      </c>
      <c r="G115" s="70">
        <v>1</v>
      </c>
      <c r="H115" s="3">
        <v>3.43</v>
      </c>
      <c r="I115" s="101">
        <v>1.93</v>
      </c>
      <c r="J115" s="4" t="s">
        <v>10</v>
      </c>
      <c r="K115" s="1" t="s">
        <v>13</v>
      </c>
      <c r="L115" s="1" t="s">
        <v>36</v>
      </c>
    </row>
    <row r="116" spans="1:12" x14ac:dyDescent="0.2">
      <c r="A116" s="65">
        <v>1</v>
      </c>
      <c r="B116" s="66" t="s">
        <v>524</v>
      </c>
      <c r="C116" s="2" t="s">
        <v>7</v>
      </c>
      <c r="D116" s="1" t="s">
        <v>20</v>
      </c>
      <c r="E116" s="2" t="s">
        <v>7</v>
      </c>
      <c r="F116" s="1" t="s">
        <v>35</v>
      </c>
      <c r="G116" s="70">
        <v>10</v>
      </c>
      <c r="H116" s="3">
        <v>2.64</v>
      </c>
      <c r="I116" s="101">
        <v>1.49</v>
      </c>
      <c r="J116" s="4" t="s">
        <v>10</v>
      </c>
      <c r="K116" s="1" t="s">
        <v>13</v>
      </c>
      <c r="L116" s="1" t="s">
        <v>36</v>
      </c>
    </row>
    <row r="117" spans="1:12" x14ac:dyDescent="0.2">
      <c r="A117" s="65">
        <v>1</v>
      </c>
      <c r="B117" s="66" t="s">
        <v>247</v>
      </c>
      <c r="C117" s="2" t="s">
        <v>7</v>
      </c>
      <c r="D117" s="1" t="s">
        <v>20</v>
      </c>
      <c r="E117" s="2" t="s">
        <v>7</v>
      </c>
      <c r="F117" s="1" t="s">
        <v>35</v>
      </c>
      <c r="G117" s="70">
        <v>0</v>
      </c>
      <c r="H117" s="3">
        <v>1.78</v>
      </c>
      <c r="I117" s="101">
        <v>1</v>
      </c>
      <c r="J117" s="4" t="s">
        <v>10</v>
      </c>
      <c r="K117" s="1" t="s">
        <v>11</v>
      </c>
      <c r="L117" s="1" t="s">
        <v>36</v>
      </c>
    </row>
    <row r="118" spans="1:12" x14ac:dyDescent="0.2">
      <c r="A118" s="65">
        <v>1</v>
      </c>
      <c r="B118" s="66" t="s">
        <v>247</v>
      </c>
      <c r="C118" s="2" t="s">
        <v>7</v>
      </c>
      <c r="D118" s="1" t="s">
        <v>20</v>
      </c>
      <c r="E118" s="2" t="s">
        <v>7</v>
      </c>
      <c r="F118" s="1" t="s">
        <v>35</v>
      </c>
      <c r="G118" s="70">
        <v>1E-3</v>
      </c>
      <c r="H118" s="3">
        <v>2.88</v>
      </c>
      <c r="I118" s="101">
        <v>1.55</v>
      </c>
      <c r="J118" s="4" t="s">
        <v>10</v>
      </c>
      <c r="K118" s="1" t="s">
        <v>13</v>
      </c>
      <c r="L118" s="1" t="s">
        <v>36</v>
      </c>
    </row>
    <row r="119" spans="1:12" x14ac:dyDescent="0.2">
      <c r="A119" s="65">
        <v>1</v>
      </c>
      <c r="B119" s="66" t="s">
        <v>247</v>
      </c>
      <c r="C119" s="2" t="s">
        <v>7</v>
      </c>
      <c r="D119" s="1" t="s">
        <v>20</v>
      </c>
      <c r="E119" s="2" t="s">
        <v>7</v>
      </c>
      <c r="F119" s="1" t="s">
        <v>35</v>
      </c>
      <c r="G119" s="70">
        <v>0.01</v>
      </c>
      <c r="H119" s="3">
        <v>2.92</v>
      </c>
      <c r="I119" s="101">
        <v>1.62</v>
      </c>
      <c r="J119" s="4" t="s">
        <v>10</v>
      </c>
      <c r="K119" s="1" t="s">
        <v>13</v>
      </c>
      <c r="L119" s="1" t="s">
        <v>36</v>
      </c>
    </row>
    <row r="120" spans="1:12" x14ac:dyDescent="0.2">
      <c r="A120" s="65">
        <v>1</v>
      </c>
      <c r="B120" s="66" t="s">
        <v>247</v>
      </c>
      <c r="C120" s="2" t="s">
        <v>7</v>
      </c>
      <c r="D120" s="1" t="s">
        <v>20</v>
      </c>
      <c r="E120" s="2" t="s">
        <v>7</v>
      </c>
      <c r="F120" s="1" t="s">
        <v>35</v>
      </c>
      <c r="G120" s="70">
        <v>0.1</v>
      </c>
      <c r="H120" s="3">
        <v>2.5</v>
      </c>
      <c r="I120" s="101">
        <v>1.4</v>
      </c>
      <c r="J120" s="4" t="s">
        <v>10</v>
      </c>
      <c r="K120" s="1" t="s">
        <v>13</v>
      </c>
      <c r="L120" s="1" t="s">
        <v>36</v>
      </c>
    </row>
    <row r="121" spans="1:12" x14ac:dyDescent="0.2">
      <c r="A121" s="65">
        <v>1</v>
      </c>
      <c r="B121" s="66" t="s">
        <v>247</v>
      </c>
      <c r="C121" s="2" t="s">
        <v>7</v>
      </c>
      <c r="D121" s="1" t="s">
        <v>20</v>
      </c>
      <c r="E121" s="2" t="s">
        <v>7</v>
      </c>
      <c r="F121" s="1" t="s">
        <v>35</v>
      </c>
      <c r="G121" s="70">
        <v>1</v>
      </c>
      <c r="H121" s="3">
        <v>3.27</v>
      </c>
      <c r="I121" s="101">
        <v>2.89</v>
      </c>
      <c r="J121" s="4" t="s">
        <v>10</v>
      </c>
      <c r="K121" s="1" t="s">
        <v>13</v>
      </c>
      <c r="L121" s="1" t="s">
        <v>36</v>
      </c>
    </row>
    <row r="122" spans="1:12" x14ac:dyDescent="0.2">
      <c r="A122" s="65">
        <v>1</v>
      </c>
      <c r="B122" s="66" t="s">
        <v>247</v>
      </c>
      <c r="C122" s="2" t="s">
        <v>7</v>
      </c>
      <c r="D122" s="1" t="s">
        <v>20</v>
      </c>
      <c r="E122" s="2" t="s">
        <v>7</v>
      </c>
      <c r="F122" s="1" t="s">
        <v>35</v>
      </c>
      <c r="G122" s="70">
        <v>10</v>
      </c>
      <c r="H122" s="3">
        <v>2.57</v>
      </c>
      <c r="I122" s="101">
        <v>1.47</v>
      </c>
      <c r="J122" s="4" t="s">
        <v>10</v>
      </c>
      <c r="K122" s="1" t="s">
        <v>13</v>
      </c>
      <c r="L122" s="1" t="s">
        <v>36</v>
      </c>
    </row>
    <row r="123" spans="1:12" x14ac:dyDescent="0.2">
      <c r="A123" s="65">
        <v>1</v>
      </c>
      <c r="B123" s="66" t="s">
        <v>248</v>
      </c>
      <c r="C123" s="2" t="s">
        <v>7</v>
      </c>
      <c r="D123" s="1" t="s">
        <v>20</v>
      </c>
      <c r="E123" s="2" t="s">
        <v>7</v>
      </c>
      <c r="F123" s="1" t="s">
        <v>35</v>
      </c>
      <c r="G123" s="70">
        <v>0</v>
      </c>
      <c r="H123" s="3">
        <v>0.94</v>
      </c>
      <c r="I123" s="101">
        <v>1</v>
      </c>
      <c r="J123" s="4" t="s">
        <v>10</v>
      </c>
      <c r="K123" s="1" t="s">
        <v>11</v>
      </c>
      <c r="L123" s="1" t="s">
        <v>36</v>
      </c>
    </row>
    <row r="124" spans="1:12" x14ac:dyDescent="0.2">
      <c r="A124" s="65">
        <v>1</v>
      </c>
      <c r="B124" s="66" t="s">
        <v>248</v>
      </c>
      <c r="C124" s="2" t="s">
        <v>7</v>
      </c>
      <c r="D124" s="1" t="s">
        <v>20</v>
      </c>
      <c r="E124" s="2" t="s">
        <v>7</v>
      </c>
      <c r="F124" s="1" t="s">
        <v>35</v>
      </c>
      <c r="G124" s="70">
        <v>1E-3</v>
      </c>
      <c r="H124" s="3">
        <v>1.1100000000000001</v>
      </c>
      <c r="I124" s="101">
        <v>1.07</v>
      </c>
      <c r="J124" s="4" t="s">
        <v>10</v>
      </c>
      <c r="K124" s="1" t="s">
        <v>13</v>
      </c>
      <c r="L124" s="1" t="s">
        <v>36</v>
      </c>
    </row>
    <row r="125" spans="1:12" x14ac:dyDescent="0.2">
      <c r="A125" s="65">
        <v>1</v>
      </c>
      <c r="B125" s="66" t="s">
        <v>248</v>
      </c>
      <c r="C125" s="2" t="s">
        <v>7</v>
      </c>
      <c r="D125" s="1" t="s">
        <v>20</v>
      </c>
      <c r="E125" s="2" t="s">
        <v>7</v>
      </c>
      <c r="F125" s="1" t="s">
        <v>35</v>
      </c>
      <c r="G125" s="70">
        <v>0.01</v>
      </c>
      <c r="H125" s="3">
        <v>0.79</v>
      </c>
      <c r="I125" s="101">
        <v>0.81</v>
      </c>
      <c r="J125" s="4" t="s">
        <v>10</v>
      </c>
      <c r="K125" s="1" t="s">
        <v>15</v>
      </c>
      <c r="L125" s="1" t="s">
        <v>36</v>
      </c>
    </row>
    <row r="126" spans="1:12" x14ac:dyDescent="0.2">
      <c r="A126" s="65">
        <v>1</v>
      </c>
      <c r="B126" s="66" t="s">
        <v>248</v>
      </c>
      <c r="C126" s="2" t="s">
        <v>7</v>
      </c>
      <c r="D126" s="1" t="s">
        <v>20</v>
      </c>
      <c r="E126" s="2" t="s">
        <v>7</v>
      </c>
      <c r="F126" s="1" t="s">
        <v>35</v>
      </c>
      <c r="G126" s="70">
        <v>0.1</v>
      </c>
      <c r="H126" s="3">
        <v>0.86</v>
      </c>
      <c r="I126" s="101">
        <v>0.91</v>
      </c>
      <c r="J126" s="4" t="s">
        <v>10</v>
      </c>
      <c r="K126" s="1" t="s">
        <v>15</v>
      </c>
      <c r="L126" s="1" t="s">
        <v>36</v>
      </c>
    </row>
    <row r="127" spans="1:12" x14ac:dyDescent="0.2">
      <c r="A127" s="65">
        <v>1</v>
      </c>
      <c r="B127" s="66" t="s">
        <v>248</v>
      </c>
      <c r="C127" s="2" t="s">
        <v>7</v>
      </c>
      <c r="D127" s="1" t="s">
        <v>20</v>
      </c>
      <c r="E127" s="2" t="s">
        <v>7</v>
      </c>
      <c r="F127" s="1" t="s">
        <v>35</v>
      </c>
      <c r="G127" s="70">
        <v>1</v>
      </c>
      <c r="H127" s="3">
        <v>1.02</v>
      </c>
      <c r="I127" s="101">
        <v>1.1000000000000001</v>
      </c>
      <c r="J127" s="4" t="s">
        <v>10</v>
      </c>
      <c r="K127" s="1" t="s">
        <v>13</v>
      </c>
      <c r="L127" s="1" t="s">
        <v>36</v>
      </c>
    </row>
    <row r="128" spans="1:12" x14ac:dyDescent="0.2">
      <c r="A128" s="65">
        <v>1</v>
      </c>
      <c r="B128" s="66" t="s">
        <v>248</v>
      </c>
      <c r="C128" s="2" t="s">
        <v>7</v>
      </c>
      <c r="D128" s="1" t="s">
        <v>20</v>
      </c>
      <c r="E128" s="2" t="s">
        <v>7</v>
      </c>
      <c r="F128" s="1" t="s">
        <v>35</v>
      </c>
      <c r="G128" s="70">
        <v>10</v>
      </c>
      <c r="H128" s="3">
        <v>1.22</v>
      </c>
      <c r="I128" s="101">
        <v>1.29</v>
      </c>
      <c r="J128" s="4" t="s">
        <v>10</v>
      </c>
      <c r="K128" s="1" t="s">
        <v>13</v>
      </c>
      <c r="L128" s="1" t="s">
        <v>36</v>
      </c>
    </row>
    <row r="129" spans="1:12" x14ac:dyDescent="0.2">
      <c r="A129" s="65">
        <v>1</v>
      </c>
      <c r="B129" s="66" t="s">
        <v>249</v>
      </c>
      <c r="C129" s="2" t="s">
        <v>7</v>
      </c>
      <c r="D129" s="1" t="s">
        <v>20</v>
      </c>
      <c r="E129" s="2" t="s">
        <v>7</v>
      </c>
      <c r="F129" s="1" t="s">
        <v>35</v>
      </c>
      <c r="G129" s="70">
        <v>0</v>
      </c>
      <c r="H129" s="3">
        <v>1.78</v>
      </c>
      <c r="I129" s="101">
        <v>1</v>
      </c>
      <c r="J129" s="4" t="s">
        <v>10</v>
      </c>
      <c r="K129" s="1" t="s">
        <v>11</v>
      </c>
      <c r="L129" s="1" t="s">
        <v>36</v>
      </c>
    </row>
    <row r="130" spans="1:12" x14ac:dyDescent="0.2">
      <c r="A130" s="65">
        <v>1</v>
      </c>
      <c r="B130" s="66" t="s">
        <v>249</v>
      </c>
      <c r="C130" s="2" t="s">
        <v>7</v>
      </c>
      <c r="D130" s="1" t="s">
        <v>20</v>
      </c>
      <c r="E130" s="2" t="s">
        <v>7</v>
      </c>
      <c r="F130" s="1" t="s">
        <v>35</v>
      </c>
      <c r="G130" s="70">
        <v>1E-3</v>
      </c>
      <c r="H130" s="3">
        <v>1.94</v>
      </c>
      <c r="I130" s="101">
        <v>1.1100000000000001</v>
      </c>
      <c r="J130" s="4" t="s">
        <v>10</v>
      </c>
      <c r="K130" s="1" t="s">
        <v>13</v>
      </c>
      <c r="L130" s="1" t="s">
        <v>36</v>
      </c>
    </row>
    <row r="131" spans="1:12" x14ac:dyDescent="0.2">
      <c r="A131" s="65">
        <v>1</v>
      </c>
      <c r="B131" s="66" t="s">
        <v>249</v>
      </c>
      <c r="C131" s="2" t="s">
        <v>7</v>
      </c>
      <c r="D131" s="1" t="s">
        <v>20</v>
      </c>
      <c r="E131" s="2" t="s">
        <v>7</v>
      </c>
      <c r="F131" s="1" t="s">
        <v>35</v>
      </c>
      <c r="G131" s="70">
        <v>0.01</v>
      </c>
      <c r="H131" s="3">
        <v>1.97</v>
      </c>
      <c r="I131" s="101">
        <v>1.08</v>
      </c>
      <c r="J131" s="4" t="s">
        <v>10</v>
      </c>
      <c r="K131" s="1" t="s">
        <v>13</v>
      </c>
      <c r="L131" s="1" t="s">
        <v>36</v>
      </c>
    </row>
    <row r="132" spans="1:12" x14ac:dyDescent="0.2">
      <c r="A132" s="65">
        <v>1</v>
      </c>
      <c r="B132" s="66" t="s">
        <v>249</v>
      </c>
      <c r="C132" s="2" t="s">
        <v>7</v>
      </c>
      <c r="D132" s="1" t="s">
        <v>20</v>
      </c>
      <c r="E132" s="2" t="s">
        <v>7</v>
      </c>
      <c r="F132" s="1" t="s">
        <v>35</v>
      </c>
      <c r="G132" s="70">
        <v>0.1</v>
      </c>
      <c r="H132" s="3">
        <v>1.94</v>
      </c>
      <c r="I132" s="101">
        <v>1.1000000000000001</v>
      </c>
      <c r="J132" s="4" t="s">
        <v>10</v>
      </c>
      <c r="K132" s="1" t="s">
        <v>13</v>
      </c>
      <c r="L132" s="1" t="s">
        <v>36</v>
      </c>
    </row>
    <row r="133" spans="1:12" x14ac:dyDescent="0.2">
      <c r="A133" s="65">
        <v>1</v>
      </c>
      <c r="B133" s="66" t="s">
        <v>249</v>
      </c>
      <c r="C133" s="2" t="s">
        <v>7</v>
      </c>
      <c r="D133" s="1" t="s">
        <v>20</v>
      </c>
      <c r="E133" s="2" t="s">
        <v>7</v>
      </c>
      <c r="F133" s="1" t="s">
        <v>35</v>
      </c>
      <c r="G133" s="70">
        <v>1</v>
      </c>
      <c r="H133" s="3">
        <v>2.4900000000000002</v>
      </c>
      <c r="I133" s="101">
        <v>1.4</v>
      </c>
      <c r="J133" s="4" t="s">
        <v>10</v>
      </c>
      <c r="K133" s="1" t="s">
        <v>13</v>
      </c>
      <c r="L133" s="1" t="s">
        <v>36</v>
      </c>
    </row>
    <row r="134" spans="1:12" x14ac:dyDescent="0.2">
      <c r="A134" s="65">
        <v>1</v>
      </c>
      <c r="B134" s="66" t="s">
        <v>249</v>
      </c>
      <c r="C134" s="2" t="s">
        <v>7</v>
      </c>
      <c r="D134" s="1" t="s">
        <v>20</v>
      </c>
      <c r="E134" s="2" t="s">
        <v>7</v>
      </c>
      <c r="F134" s="1" t="s">
        <v>35</v>
      </c>
      <c r="G134" s="70">
        <v>10</v>
      </c>
      <c r="H134" s="3">
        <v>2.5299999999999998</v>
      </c>
      <c r="I134" s="101">
        <v>1.43</v>
      </c>
      <c r="J134" s="4" t="s">
        <v>10</v>
      </c>
      <c r="K134" s="1" t="s">
        <v>13</v>
      </c>
      <c r="L134" s="1" t="s">
        <v>36</v>
      </c>
    </row>
    <row r="135" spans="1:12" x14ac:dyDescent="0.2">
      <c r="A135" s="65">
        <v>1</v>
      </c>
      <c r="B135" s="66" t="s">
        <v>242</v>
      </c>
      <c r="C135" s="2" t="s">
        <v>7</v>
      </c>
      <c r="D135" s="1" t="s">
        <v>20</v>
      </c>
      <c r="E135" s="2" t="s">
        <v>7</v>
      </c>
      <c r="F135" s="1" t="s">
        <v>35</v>
      </c>
      <c r="G135" s="70">
        <v>0</v>
      </c>
      <c r="H135" s="3">
        <v>0.84</v>
      </c>
      <c r="I135" s="101">
        <v>1</v>
      </c>
      <c r="J135" s="4" t="s">
        <v>10</v>
      </c>
      <c r="K135" s="1" t="s">
        <v>11</v>
      </c>
      <c r="L135" s="1" t="s">
        <v>36</v>
      </c>
    </row>
    <row r="136" spans="1:12" x14ac:dyDescent="0.2">
      <c r="A136" s="65">
        <v>1</v>
      </c>
      <c r="B136" s="66" t="s">
        <v>242</v>
      </c>
      <c r="C136" s="2" t="s">
        <v>7</v>
      </c>
      <c r="D136" s="1" t="s">
        <v>20</v>
      </c>
      <c r="E136" s="2" t="s">
        <v>7</v>
      </c>
      <c r="F136" s="1" t="s">
        <v>35</v>
      </c>
      <c r="G136" s="70">
        <v>1E-3</v>
      </c>
      <c r="H136" s="3">
        <v>1.02</v>
      </c>
      <c r="I136" s="101">
        <v>1.21</v>
      </c>
      <c r="J136" s="4" t="s">
        <v>10</v>
      </c>
      <c r="K136" s="1" t="s">
        <v>13</v>
      </c>
      <c r="L136" s="1" t="s">
        <v>36</v>
      </c>
    </row>
    <row r="137" spans="1:12" x14ac:dyDescent="0.2">
      <c r="A137" s="65">
        <v>1</v>
      </c>
      <c r="B137" s="66" t="s">
        <v>242</v>
      </c>
      <c r="C137" s="2" t="s">
        <v>7</v>
      </c>
      <c r="D137" s="1" t="s">
        <v>20</v>
      </c>
      <c r="E137" s="2" t="s">
        <v>7</v>
      </c>
      <c r="F137" s="1" t="s">
        <v>35</v>
      </c>
      <c r="G137" s="70">
        <v>0.01</v>
      </c>
      <c r="H137" s="3">
        <v>1.36</v>
      </c>
      <c r="I137" s="101">
        <v>1.62</v>
      </c>
      <c r="J137" s="4" t="s">
        <v>10</v>
      </c>
      <c r="K137" s="1" t="s">
        <v>13</v>
      </c>
      <c r="L137" s="1" t="s">
        <v>36</v>
      </c>
    </row>
    <row r="138" spans="1:12" x14ac:dyDescent="0.2">
      <c r="A138" s="65">
        <v>1</v>
      </c>
      <c r="B138" s="66" t="s">
        <v>242</v>
      </c>
      <c r="C138" s="2" t="s">
        <v>7</v>
      </c>
      <c r="D138" s="1" t="s">
        <v>20</v>
      </c>
      <c r="E138" s="2" t="s">
        <v>7</v>
      </c>
      <c r="F138" s="1" t="s">
        <v>35</v>
      </c>
      <c r="G138" s="70">
        <v>0.1</v>
      </c>
      <c r="H138" s="3">
        <v>1.57</v>
      </c>
      <c r="I138" s="101">
        <v>1.87</v>
      </c>
      <c r="J138" s="4" t="s">
        <v>10</v>
      </c>
      <c r="K138" s="1" t="s">
        <v>13</v>
      </c>
      <c r="L138" s="1" t="s">
        <v>36</v>
      </c>
    </row>
    <row r="139" spans="1:12" x14ac:dyDescent="0.2">
      <c r="A139" s="65">
        <v>1</v>
      </c>
      <c r="B139" s="66" t="s">
        <v>242</v>
      </c>
      <c r="C139" s="2" t="s">
        <v>7</v>
      </c>
      <c r="D139" s="1" t="s">
        <v>20</v>
      </c>
      <c r="E139" s="2" t="s">
        <v>7</v>
      </c>
      <c r="F139" s="1" t="s">
        <v>35</v>
      </c>
      <c r="G139" s="70">
        <v>1</v>
      </c>
      <c r="H139" s="3">
        <v>1.63</v>
      </c>
      <c r="I139" s="101">
        <v>1.95</v>
      </c>
      <c r="J139" s="4" t="s">
        <v>10</v>
      </c>
      <c r="K139" s="1" t="s">
        <v>13</v>
      </c>
      <c r="L139" s="1" t="s">
        <v>36</v>
      </c>
    </row>
    <row r="140" spans="1:12" x14ac:dyDescent="0.2">
      <c r="A140" s="65">
        <v>1</v>
      </c>
      <c r="B140" s="66" t="s">
        <v>242</v>
      </c>
      <c r="C140" s="2" t="s">
        <v>7</v>
      </c>
      <c r="D140" s="1" t="s">
        <v>20</v>
      </c>
      <c r="E140" s="2" t="s">
        <v>7</v>
      </c>
      <c r="F140" s="1" t="s">
        <v>35</v>
      </c>
      <c r="G140" s="70">
        <v>10</v>
      </c>
      <c r="H140" s="3">
        <v>1.06</v>
      </c>
      <c r="I140" s="101">
        <v>1.26</v>
      </c>
      <c r="J140" s="4" t="s">
        <v>10</v>
      </c>
      <c r="K140" s="1" t="s">
        <v>13</v>
      </c>
      <c r="L140" s="1" t="s">
        <v>36</v>
      </c>
    </row>
    <row r="141" spans="1:12" x14ac:dyDescent="0.2">
      <c r="A141" s="65">
        <v>1</v>
      </c>
      <c r="B141" s="66" t="s">
        <v>241</v>
      </c>
      <c r="C141" s="2" t="s">
        <v>7</v>
      </c>
      <c r="D141" s="1" t="s">
        <v>20</v>
      </c>
      <c r="E141" s="2" t="s">
        <v>7</v>
      </c>
      <c r="F141" s="1" t="s">
        <v>35</v>
      </c>
      <c r="G141" s="70">
        <v>0</v>
      </c>
      <c r="H141" s="3">
        <v>1.78</v>
      </c>
      <c r="I141" s="101">
        <v>1</v>
      </c>
      <c r="J141" s="4" t="s">
        <v>10</v>
      </c>
      <c r="K141" s="1" t="s">
        <v>11</v>
      </c>
      <c r="L141" s="1" t="s">
        <v>36</v>
      </c>
    </row>
    <row r="142" spans="1:12" x14ac:dyDescent="0.2">
      <c r="A142" s="65">
        <v>1</v>
      </c>
      <c r="B142" s="66" t="s">
        <v>241</v>
      </c>
      <c r="C142" s="2" t="s">
        <v>7</v>
      </c>
      <c r="D142" s="1" t="s">
        <v>20</v>
      </c>
      <c r="E142" s="2" t="s">
        <v>7</v>
      </c>
      <c r="F142" s="1" t="s">
        <v>35</v>
      </c>
      <c r="G142" s="70">
        <v>1E-3</v>
      </c>
      <c r="H142" s="3">
        <v>2.34</v>
      </c>
      <c r="I142" s="101">
        <v>1.32</v>
      </c>
      <c r="J142" s="4" t="s">
        <v>10</v>
      </c>
      <c r="K142" s="1" t="s">
        <v>13</v>
      </c>
      <c r="L142" s="1" t="s">
        <v>36</v>
      </c>
    </row>
    <row r="143" spans="1:12" x14ac:dyDescent="0.2">
      <c r="A143" s="65">
        <v>1</v>
      </c>
      <c r="B143" s="66" t="s">
        <v>241</v>
      </c>
      <c r="C143" s="2" t="s">
        <v>7</v>
      </c>
      <c r="D143" s="1" t="s">
        <v>20</v>
      </c>
      <c r="E143" s="2" t="s">
        <v>7</v>
      </c>
      <c r="F143" s="1" t="s">
        <v>35</v>
      </c>
      <c r="G143" s="70">
        <v>0.01</v>
      </c>
      <c r="H143" s="3">
        <v>2.16</v>
      </c>
      <c r="I143" s="101">
        <v>1.18</v>
      </c>
      <c r="J143" s="4" t="s">
        <v>10</v>
      </c>
      <c r="K143" s="1" t="s">
        <v>13</v>
      </c>
      <c r="L143" s="1" t="s">
        <v>36</v>
      </c>
    </row>
    <row r="144" spans="1:12" x14ac:dyDescent="0.2">
      <c r="A144" s="65">
        <v>1</v>
      </c>
      <c r="B144" s="66" t="s">
        <v>241</v>
      </c>
      <c r="C144" s="2" t="s">
        <v>7</v>
      </c>
      <c r="D144" s="1" t="s">
        <v>20</v>
      </c>
      <c r="E144" s="2" t="s">
        <v>7</v>
      </c>
      <c r="F144" s="1" t="s">
        <v>35</v>
      </c>
      <c r="G144" s="70">
        <v>0.1</v>
      </c>
      <c r="H144" s="3">
        <v>2.13</v>
      </c>
      <c r="I144" s="101">
        <v>1.1499999999999999</v>
      </c>
      <c r="J144" s="4" t="s">
        <v>10</v>
      </c>
      <c r="K144" s="1" t="s">
        <v>13</v>
      </c>
      <c r="L144" s="1" t="s">
        <v>36</v>
      </c>
    </row>
    <row r="145" spans="1:12" x14ac:dyDescent="0.2">
      <c r="A145" s="65">
        <v>1</v>
      </c>
      <c r="B145" s="66" t="s">
        <v>241</v>
      </c>
      <c r="C145" s="2" t="s">
        <v>7</v>
      </c>
      <c r="D145" s="1" t="s">
        <v>20</v>
      </c>
      <c r="E145" s="2" t="s">
        <v>7</v>
      </c>
      <c r="F145" s="1" t="s">
        <v>35</v>
      </c>
      <c r="G145" s="70">
        <v>1</v>
      </c>
      <c r="H145" s="3">
        <v>2.16</v>
      </c>
      <c r="I145" s="101">
        <v>1.24</v>
      </c>
      <c r="J145" s="4" t="s">
        <v>10</v>
      </c>
      <c r="K145" s="1" t="s">
        <v>13</v>
      </c>
      <c r="L145" s="1" t="s">
        <v>36</v>
      </c>
    </row>
    <row r="146" spans="1:12" x14ac:dyDescent="0.2">
      <c r="A146" s="65">
        <v>1</v>
      </c>
      <c r="B146" s="66" t="s">
        <v>241</v>
      </c>
      <c r="C146" s="2" t="s">
        <v>7</v>
      </c>
      <c r="D146" s="1" t="s">
        <v>20</v>
      </c>
      <c r="E146" s="2" t="s">
        <v>7</v>
      </c>
      <c r="F146" s="1" t="s">
        <v>35</v>
      </c>
      <c r="G146" s="70">
        <v>10</v>
      </c>
      <c r="H146" s="3">
        <v>2.19</v>
      </c>
      <c r="I146" s="101">
        <v>1.23</v>
      </c>
      <c r="J146" s="4" t="s">
        <v>10</v>
      </c>
      <c r="K146" s="1" t="s">
        <v>13</v>
      </c>
      <c r="L146" s="1" t="s">
        <v>36</v>
      </c>
    </row>
    <row r="147" spans="1:12" x14ac:dyDescent="0.2">
      <c r="A147" s="65">
        <v>2</v>
      </c>
      <c r="B147" s="66" t="s">
        <v>37</v>
      </c>
      <c r="C147" s="2" t="s">
        <v>7</v>
      </c>
      <c r="D147" s="1" t="s">
        <v>20</v>
      </c>
      <c r="E147" s="2" t="s">
        <v>38</v>
      </c>
      <c r="F147" s="1" t="s">
        <v>8</v>
      </c>
      <c r="G147" s="70">
        <v>0</v>
      </c>
      <c r="H147" s="3">
        <v>4.80067377877596E-4</v>
      </c>
      <c r="I147" s="101">
        <v>1</v>
      </c>
      <c r="J147" s="4" t="s">
        <v>10</v>
      </c>
      <c r="K147" s="1" t="s">
        <v>11</v>
      </c>
      <c r="L147" s="1" t="s">
        <v>12</v>
      </c>
    </row>
    <row r="148" spans="1:12" x14ac:dyDescent="0.2">
      <c r="A148" s="65">
        <v>2</v>
      </c>
      <c r="B148" s="66" t="s">
        <v>37</v>
      </c>
      <c r="C148" s="2" t="s">
        <v>7</v>
      </c>
      <c r="D148" s="1" t="s">
        <v>20</v>
      </c>
      <c r="E148" s="2" t="s">
        <v>38</v>
      </c>
      <c r="F148" s="1" t="s">
        <v>8</v>
      </c>
      <c r="G148" s="70">
        <v>200</v>
      </c>
      <c r="H148" s="3">
        <v>5.0028074115665295E-4</v>
      </c>
      <c r="I148" s="101">
        <v>1.0421052631578953</v>
      </c>
      <c r="J148" s="4" t="s">
        <v>10</v>
      </c>
      <c r="K148" s="1" t="s">
        <v>11</v>
      </c>
      <c r="L148" s="1" t="s">
        <v>12</v>
      </c>
    </row>
    <row r="149" spans="1:12" x14ac:dyDescent="0.2">
      <c r="A149" s="65">
        <v>2</v>
      </c>
      <c r="B149" s="66" t="s">
        <v>37</v>
      </c>
      <c r="C149" s="2" t="s">
        <v>7</v>
      </c>
      <c r="D149" s="1" t="s">
        <v>20</v>
      </c>
      <c r="E149" s="2" t="s">
        <v>38</v>
      </c>
      <c r="F149" s="1" t="s">
        <v>8</v>
      </c>
      <c r="G149" s="70">
        <v>400</v>
      </c>
      <c r="H149" s="3">
        <v>7.4284110050533403E-4</v>
      </c>
      <c r="I149" s="101">
        <v>1.5473684210526342</v>
      </c>
      <c r="J149" s="4" t="s">
        <v>10</v>
      </c>
      <c r="K149" s="1" t="s">
        <v>13</v>
      </c>
      <c r="L149" s="1" t="s">
        <v>16</v>
      </c>
    </row>
    <row r="150" spans="1:12" x14ac:dyDescent="0.2">
      <c r="A150" s="65">
        <v>2</v>
      </c>
      <c r="B150" s="66" t="s">
        <v>37</v>
      </c>
      <c r="C150" s="2" t="s">
        <v>7</v>
      </c>
      <c r="D150" s="1" t="s">
        <v>20</v>
      </c>
      <c r="E150" s="2" t="s">
        <v>38</v>
      </c>
      <c r="F150" s="1" t="s">
        <v>8</v>
      </c>
      <c r="G150" s="70">
        <v>800</v>
      </c>
      <c r="H150" s="3">
        <v>1.05614823133071E-3</v>
      </c>
      <c r="I150" s="101">
        <v>2.1999999999999975</v>
      </c>
      <c r="J150" s="4" t="s">
        <v>10</v>
      </c>
      <c r="K150" s="1" t="s">
        <v>13</v>
      </c>
      <c r="L150" s="1" t="s">
        <v>16</v>
      </c>
    </row>
    <row r="151" spans="1:12" x14ac:dyDescent="0.2">
      <c r="A151" s="65">
        <v>2</v>
      </c>
      <c r="B151" s="66" t="s">
        <v>37</v>
      </c>
      <c r="C151" s="2" t="s">
        <v>7</v>
      </c>
      <c r="D151" s="1" t="s">
        <v>20</v>
      </c>
      <c r="E151" s="2" t="s">
        <v>38</v>
      </c>
      <c r="F151" s="1" t="s">
        <v>8</v>
      </c>
      <c r="G151" s="70">
        <v>1200</v>
      </c>
      <c r="H151" s="3">
        <v>1.1824817518248101E-3</v>
      </c>
      <c r="I151" s="101">
        <v>2.4631578947368311</v>
      </c>
      <c r="J151" s="4" t="s">
        <v>10</v>
      </c>
      <c r="K151" s="1" t="s">
        <v>13</v>
      </c>
      <c r="L151" s="1" t="s">
        <v>14</v>
      </c>
    </row>
    <row r="152" spans="1:12" x14ac:dyDescent="0.2">
      <c r="A152" s="65">
        <v>2</v>
      </c>
      <c r="B152" s="66" t="s">
        <v>37</v>
      </c>
      <c r="C152" s="2" t="s">
        <v>7</v>
      </c>
      <c r="D152" s="1" t="s">
        <v>20</v>
      </c>
      <c r="E152" s="2" t="s">
        <v>38</v>
      </c>
      <c r="F152" s="1" t="s">
        <v>8</v>
      </c>
      <c r="G152" s="70">
        <v>1600</v>
      </c>
      <c r="H152" s="3">
        <v>1.2532285233015101E-3</v>
      </c>
      <c r="I152" s="101">
        <v>2.6105263157894658</v>
      </c>
      <c r="J152" s="4" t="s">
        <v>10</v>
      </c>
      <c r="K152" s="1" t="s">
        <v>13</v>
      </c>
      <c r="L152" s="1" t="s">
        <v>28</v>
      </c>
    </row>
    <row r="153" spans="1:12" x14ac:dyDescent="0.2">
      <c r="A153" s="65">
        <v>2</v>
      </c>
      <c r="B153" s="66" t="s">
        <v>37</v>
      </c>
      <c r="C153" s="2" t="s">
        <v>7</v>
      </c>
      <c r="D153" s="1" t="s">
        <v>20</v>
      </c>
      <c r="E153" s="2" t="s">
        <v>38</v>
      </c>
      <c r="F153" s="1" t="s">
        <v>8</v>
      </c>
      <c r="G153" s="70">
        <v>2000</v>
      </c>
      <c r="H153" s="3">
        <v>4.1437394722066101E-4</v>
      </c>
      <c r="I153" s="101">
        <v>0.86315789473684046</v>
      </c>
      <c r="J153" s="4" t="s">
        <v>10</v>
      </c>
      <c r="K153" s="1" t="s">
        <v>15</v>
      </c>
      <c r="L153" s="1" t="s">
        <v>12</v>
      </c>
    </row>
    <row r="154" spans="1:12" x14ac:dyDescent="0.2">
      <c r="A154" s="65">
        <v>2</v>
      </c>
      <c r="B154" s="66" t="s">
        <v>37</v>
      </c>
      <c r="C154" s="2" t="s">
        <v>7</v>
      </c>
      <c r="D154" s="1" t="s">
        <v>20</v>
      </c>
      <c r="E154" s="2" t="s">
        <v>38</v>
      </c>
      <c r="F154" s="1" t="s">
        <v>8</v>
      </c>
      <c r="G154" s="70">
        <v>3000</v>
      </c>
      <c r="H154" s="3">
        <v>3.0320044918585003E-4</v>
      </c>
      <c r="I154" s="101">
        <v>0.63157894736842091</v>
      </c>
      <c r="J154" s="4" t="s">
        <v>10</v>
      </c>
      <c r="K154" s="1" t="s">
        <v>15</v>
      </c>
      <c r="L154" s="1" t="s">
        <v>16</v>
      </c>
    </row>
    <row r="155" spans="1:12" x14ac:dyDescent="0.2">
      <c r="A155" s="65">
        <v>2</v>
      </c>
      <c r="B155" s="66" t="s">
        <v>37</v>
      </c>
      <c r="C155" s="2" t="s">
        <v>7</v>
      </c>
      <c r="D155" s="1" t="s">
        <v>20</v>
      </c>
      <c r="E155" s="2" t="s">
        <v>25</v>
      </c>
      <c r="F155" s="1" t="s">
        <v>26</v>
      </c>
      <c r="G155" s="70">
        <v>0</v>
      </c>
      <c r="H155" s="3">
        <v>1.1723750701852799E-3</v>
      </c>
      <c r="I155" s="101">
        <v>1</v>
      </c>
      <c r="J155" s="4" t="s">
        <v>10</v>
      </c>
      <c r="K155" s="1" t="s">
        <v>11</v>
      </c>
      <c r="L155" s="1" t="s">
        <v>12</v>
      </c>
    </row>
    <row r="156" spans="1:12" x14ac:dyDescent="0.2">
      <c r="A156" s="65">
        <v>2</v>
      </c>
      <c r="B156" s="66" t="s">
        <v>37</v>
      </c>
      <c r="C156" s="2" t="s">
        <v>7</v>
      </c>
      <c r="D156" s="1" t="s">
        <v>20</v>
      </c>
      <c r="E156" s="2" t="s">
        <v>25</v>
      </c>
      <c r="F156" s="1" t="s">
        <v>26</v>
      </c>
      <c r="G156" s="70">
        <v>200</v>
      </c>
      <c r="H156" s="3">
        <v>2.47108366086468E-3</v>
      </c>
      <c r="I156" s="101">
        <v>2.1077586206896695</v>
      </c>
      <c r="J156" s="4" t="s">
        <v>10</v>
      </c>
      <c r="K156" s="1" t="s">
        <v>13</v>
      </c>
      <c r="L156" s="1" t="s">
        <v>16</v>
      </c>
    </row>
    <row r="157" spans="1:12" x14ac:dyDescent="0.2">
      <c r="A157" s="65">
        <v>2</v>
      </c>
      <c r="B157" s="66" t="s">
        <v>37</v>
      </c>
      <c r="C157" s="2" t="s">
        <v>7</v>
      </c>
      <c r="D157" s="1" t="s">
        <v>20</v>
      </c>
      <c r="E157" s="2" t="s">
        <v>25</v>
      </c>
      <c r="F157" s="1" t="s">
        <v>26</v>
      </c>
      <c r="G157" s="70">
        <v>400</v>
      </c>
      <c r="H157" s="3">
        <v>2.5115103874227898E-3</v>
      </c>
      <c r="I157" s="101">
        <v>2.1422413793103563</v>
      </c>
      <c r="J157" s="4" t="s">
        <v>10</v>
      </c>
      <c r="K157" s="1" t="s">
        <v>13</v>
      </c>
      <c r="L157" s="1" t="s">
        <v>16</v>
      </c>
    </row>
    <row r="158" spans="1:12" x14ac:dyDescent="0.2">
      <c r="A158" s="65">
        <v>2</v>
      </c>
      <c r="B158" s="66" t="s">
        <v>37</v>
      </c>
      <c r="C158" s="2" t="s">
        <v>7</v>
      </c>
      <c r="D158" s="1" t="s">
        <v>20</v>
      </c>
      <c r="E158" s="2" t="s">
        <v>25</v>
      </c>
      <c r="F158" s="1" t="s">
        <v>26</v>
      </c>
      <c r="G158" s="70">
        <v>800</v>
      </c>
      <c r="H158" s="3">
        <v>3.4312184166198699E-3</v>
      </c>
      <c r="I158" s="101">
        <v>2.926724137931052</v>
      </c>
      <c r="J158" s="4" t="s">
        <v>10</v>
      </c>
      <c r="K158" s="1" t="s">
        <v>13</v>
      </c>
      <c r="L158" s="1" t="s">
        <v>16</v>
      </c>
    </row>
    <row r="159" spans="1:12" x14ac:dyDescent="0.2">
      <c r="A159" s="65">
        <v>2</v>
      </c>
      <c r="B159" s="66" t="s">
        <v>37</v>
      </c>
      <c r="C159" s="2" t="s">
        <v>7</v>
      </c>
      <c r="D159" s="1" t="s">
        <v>20</v>
      </c>
      <c r="E159" s="2" t="s">
        <v>25</v>
      </c>
      <c r="F159" s="1" t="s">
        <v>26</v>
      </c>
      <c r="G159" s="70">
        <v>1200</v>
      </c>
      <c r="H159" s="3">
        <v>2.3396967995508102E-3</v>
      </c>
      <c r="I159" s="101">
        <v>1.9956896551724261</v>
      </c>
      <c r="J159" s="4" t="s">
        <v>10</v>
      </c>
      <c r="K159" s="1" t="s">
        <v>13</v>
      </c>
      <c r="L159" s="1" t="s">
        <v>12</v>
      </c>
    </row>
    <row r="160" spans="1:12" x14ac:dyDescent="0.2">
      <c r="A160" s="65">
        <v>2</v>
      </c>
      <c r="B160" s="66" t="s">
        <v>37</v>
      </c>
      <c r="C160" s="2" t="s">
        <v>7</v>
      </c>
      <c r="D160" s="1" t="s">
        <v>20</v>
      </c>
      <c r="E160" s="2" t="s">
        <v>25</v>
      </c>
      <c r="F160" s="1" t="s">
        <v>26</v>
      </c>
      <c r="G160" s="70">
        <v>1600</v>
      </c>
      <c r="H160" s="3">
        <v>5.3767546322290799E-3</v>
      </c>
      <c r="I160" s="101">
        <v>4.5862068965517562</v>
      </c>
      <c r="J160" s="4" t="s">
        <v>10</v>
      </c>
      <c r="K160" s="1" t="s">
        <v>13</v>
      </c>
      <c r="L160" s="1" t="s">
        <v>14</v>
      </c>
    </row>
    <row r="161" spans="1:12" x14ac:dyDescent="0.2">
      <c r="A161" s="65">
        <v>2</v>
      </c>
      <c r="B161" s="66" t="s">
        <v>37</v>
      </c>
      <c r="C161" s="2" t="s">
        <v>7</v>
      </c>
      <c r="D161" s="1" t="s">
        <v>20</v>
      </c>
      <c r="E161" s="2" t="s">
        <v>25</v>
      </c>
      <c r="F161" s="1" t="s">
        <v>26</v>
      </c>
      <c r="G161" s="70">
        <v>2000</v>
      </c>
      <c r="H161" s="3">
        <v>5.5637282425603498E-3</v>
      </c>
      <c r="I161" s="101">
        <v>4.745689655172443</v>
      </c>
      <c r="J161" s="4" t="s">
        <v>10</v>
      </c>
      <c r="K161" s="1" t="s">
        <v>13</v>
      </c>
      <c r="L161" s="1" t="s">
        <v>14</v>
      </c>
    </row>
    <row r="162" spans="1:12" x14ac:dyDescent="0.2">
      <c r="A162" s="65">
        <v>2</v>
      </c>
      <c r="B162" s="66" t="s">
        <v>37</v>
      </c>
      <c r="C162" s="2" t="s">
        <v>7</v>
      </c>
      <c r="D162" s="1" t="s">
        <v>20</v>
      </c>
      <c r="E162" s="2" t="s">
        <v>25</v>
      </c>
      <c r="F162" s="1" t="s">
        <v>26</v>
      </c>
      <c r="G162" s="70">
        <v>3000</v>
      </c>
      <c r="H162" s="3">
        <v>6.9938236945536201E-3</v>
      </c>
      <c r="I162" s="101">
        <v>5.9655172413793558</v>
      </c>
      <c r="J162" s="4" t="s">
        <v>10</v>
      </c>
      <c r="K162" s="1" t="s">
        <v>13</v>
      </c>
      <c r="L162" s="1" t="s">
        <v>28</v>
      </c>
    </row>
    <row r="163" spans="1:12" x14ac:dyDescent="0.2">
      <c r="A163" s="65">
        <v>2</v>
      </c>
      <c r="B163" s="66" t="s">
        <v>37</v>
      </c>
      <c r="C163" s="2" t="s">
        <v>7</v>
      </c>
      <c r="D163" s="1" t="s">
        <v>20</v>
      </c>
      <c r="E163" s="2" t="s">
        <v>25</v>
      </c>
      <c r="F163" s="1" t="s">
        <v>39</v>
      </c>
      <c r="G163" s="70">
        <v>0</v>
      </c>
      <c r="H163" s="3">
        <v>1.2086513994910899E-5</v>
      </c>
      <c r="I163" s="101">
        <v>1</v>
      </c>
      <c r="J163" s="4" t="s">
        <v>10</v>
      </c>
      <c r="K163" s="1" t="s">
        <v>11</v>
      </c>
      <c r="L163" s="1" t="s">
        <v>12</v>
      </c>
    </row>
    <row r="164" spans="1:12" x14ac:dyDescent="0.2">
      <c r="A164" s="65">
        <v>2</v>
      </c>
      <c r="B164" s="66" t="s">
        <v>37</v>
      </c>
      <c r="C164" s="2" t="s">
        <v>7</v>
      </c>
      <c r="D164" s="1" t="s">
        <v>20</v>
      </c>
      <c r="E164" s="2" t="s">
        <v>25</v>
      </c>
      <c r="F164" s="1" t="s">
        <v>39</v>
      </c>
      <c r="G164" s="70">
        <v>200</v>
      </c>
      <c r="H164" s="3">
        <v>1.3040712468193301E-5</v>
      </c>
      <c r="I164" s="101">
        <v>1.0789473684210495</v>
      </c>
      <c r="J164" s="4" t="s">
        <v>10</v>
      </c>
      <c r="K164" s="1" t="s">
        <v>13</v>
      </c>
      <c r="L164" s="1" t="s">
        <v>12</v>
      </c>
    </row>
    <row r="165" spans="1:12" x14ac:dyDescent="0.2">
      <c r="A165" s="65">
        <v>2</v>
      </c>
      <c r="B165" s="66" t="s">
        <v>37</v>
      </c>
      <c r="C165" s="2" t="s">
        <v>7</v>
      </c>
      <c r="D165" s="1" t="s">
        <v>20</v>
      </c>
      <c r="E165" s="2" t="s">
        <v>25</v>
      </c>
      <c r="F165" s="1" t="s">
        <v>39</v>
      </c>
      <c r="G165" s="70">
        <v>400</v>
      </c>
      <c r="H165" s="3">
        <v>1.1132315521628399E-5</v>
      </c>
      <c r="I165" s="101">
        <v>0.92105263157894235</v>
      </c>
      <c r="J165" s="4" t="s">
        <v>10</v>
      </c>
      <c r="K165" s="1" t="s">
        <v>15</v>
      </c>
      <c r="L165" s="1" t="s">
        <v>12</v>
      </c>
    </row>
    <row r="166" spans="1:12" x14ac:dyDescent="0.2">
      <c r="A166" s="65">
        <v>2</v>
      </c>
      <c r="B166" s="66" t="s">
        <v>37</v>
      </c>
      <c r="C166" s="2" t="s">
        <v>7</v>
      </c>
      <c r="D166" s="1" t="s">
        <v>20</v>
      </c>
      <c r="E166" s="2" t="s">
        <v>25</v>
      </c>
      <c r="F166" s="1" t="s">
        <v>39</v>
      </c>
      <c r="G166" s="70">
        <v>800</v>
      </c>
      <c r="H166" s="3">
        <v>5.4071246819338403E-5</v>
      </c>
      <c r="I166" s="101">
        <v>4.4736842105263301</v>
      </c>
      <c r="J166" s="4" t="s">
        <v>10</v>
      </c>
      <c r="K166" s="1" t="s">
        <v>13</v>
      </c>
      <c r="L166" s="1" t="s">
        <v>16</v>
      </c>
    </row>
    <row r="167" spans="1:12" x14ac:dyDescent="0.2">
      <c r="A167" s="65">
        <v>2</v>
      </c>
      <c r="B167" s="66" t="s">
        <v>37</v>
      </c>
      <c r="C167" s="2" t="s">
        <v>7</v>
      </c>
      <c r="D167" s="1" t="s">
        <v>20</v>
      </c>
      <c r="E167" s="2" t="s">
        <v>25</v>
      </c>
      <c r="F167" s="1" t="s">
        <v>39</v>
      </c>
      <c r="G167" s="70">
        <v>1200</v>
      </c>
      <c r="H167" s="3">
        <v>4.0394402035623298E-5</v>
      </c>
      <c r="I167" s="101">
        <v>3.3421052631578974</v>
      </c>
      <c r="J167" s="4" t="s">
        <v>10</v>
      </c>
      <c r="K167" s="1" t="s">
        <v>13</v>
      </c>
      <c r="L167" s="1" t="s">
        <v>16</v>
      </c>
    </row>
    <row r="168" spans="1:12" x14ac:dyDescent="0.2">
      <c r="A168" s="65">
        <v>2</v>
      </c>
      <c r="B168" s="66" t="s">
        <v>37</v>
      </c>
      <c r="C168" s="2" t="s">
        <v>7</v>
      </c>
      <c r="D168" s="1" t="s">
        <v>20</v>
      </c>
      <c r="E168" s="2" t="s">
        <v>25</v>
      </c>
      <c r="F168" s="1" t="s">
        <v>39</v>
      </c>
      <c r="G168" s="70">
        <v>1600</v>
      </c>
      <c r="H168" s="3">
        <v>4.9618320610686998E-5</v>
      </c>
      <c r="I168" s="101">
        <v>4.1052631578947487</v>
      </c>
      <c r="J168" s="4" t="s">
        <v>10</v>
      </c>
      <c r="K168" s="1" t="s">
        <v>13</v>
      </c>
      <c r="L168" s="1" t="s">
        <v>16</v>
      </c>
    </row>
    <row r="169" spans="1:12" x14ac:dyDescent="0.2">
      <c r="A169" s="65">
        <v>2</v>
      </c>
      <c r="B169" s="66" t="s">
        <v>37</v>
      </c>
      <c r="C169" s="2" t="s">
        <v>7</v>
      </c>
      <c r="D169" s="1" t="s">
        <v>20</v>
      </c>
      <c r="E169" s="2" t="s">
        <v>25</v>
      </c>
      <c r="F169" s="1" t="s">
        <v>39</v>
      </c>
      <c r="G169" s="70">
        <v>2000</v>
      </c>
      <c r="H169" s="3">
        <v>1.9688295165394399E-4</v>
      </c>
      <c r="I169" s="101">
        <v>16.289473684210581</v>
      </c>
      <c r="J169" s="4" t="s">
        <v>10</v>
      </c>
      <c r="K169" s="1" t="s">
        <v>13</v>
      </c>
      <c r="L169" s="1" t="s">
        <v>28</v>
      </c>
    </row>
    <row r="170" spans="1:12" x14ac:dyDescent="0.2">
      <c r="A170" s="65">
        <v>2</v>
      </c>
      <c r="B170" s="66" t="s">
        <v>37</v>
      </c>
      <c r="C170" s="2" t="s">
        <v>7</v>
      </c>
      <c r="D170" s="1" t="s">
        <v>20</v>
      </c>
      <c r="E170" s="2" t="s">
        <v>25</v>
      </c>
      <c r="F170" s="1" t="s">
        <v>39</v>
      </c>
      <c r="G170" s="70">
        <v>3000</v>
      </c>
      <c r="H170" s="3">
        <v>1.2627226463104299E-4</v>
      </c>
      <c r="I170" s="101">
        <v>10.447368421052646</v>
      </c>
      <c r="J170" s="4" t="s">
        <v>10</v>
      </c>
      <c r="K170" s="1" t="s">
        <v>13</v>
      </c>
      <c r="L170" s="1" t="s">
        <v>14</v>
      </c>
    </row>
    <row r="171" spans="1:12" x14ac:dyDescent="0.2">
      <c r="A171" s="65">
        <v>4</v>
      </c>
      <c r="B171" s="66" t="s">
        <v>248</v>
      </c>
      <c r="C171" s="2" t="s">
        <v>7</v>
      </c>
      <c r="D171" s="1" t="s">
        <v>20</v>
      </c>
      <c r="E171" s="2" t="s">
        <v>38</v>
      </c>
      <c r="F171" s="1" t="s">
        <v>8</v>
      </c>
      <c r="G171" s="70">
        <v>0</v>
      </c>
      <c r="H171" s="3">
        <v>4.4946564885496099E-4</v>
      </c>
      <c r="I171" s="101">
        <v>1</v>
      </c>
      <c r="J171" s="4" t="s">
        <v>10</v>
      </c>
      <c r="K171" s="1" t="s">
        <v>11</v>
      </c>
      <c r="L171" s="1" t="s">
        <v>12</v>
      </c>
    </row>
    <row r="172" spans="1:12" x14ac:dyDescent="0.2">
      <c r="A172" s="65">
        <v>4</v>
      </c>
      <c r="B172" s="66" t="s">
        <v>248</v>
      </c>
      <c r="C172" s="2" t="s">
        <v>7</v>
      </c>
      <c r="D172" s="1" t="s">
        <v>20</v>
      </c>
      <c r="E172" s="2" t="s">
        <v>38</v>
      </c>
      <c r="F172" s="1" t="s">
        <v>8</v>
      </c>
      <c r="G172" s="70">
        <v>0.01</v>
      </c>
      <c r="H172" s="3">
        <v>7.23053435114503E-4</v>
      </c>
      <c r="I172" s="101">
        <v>1.6086956521739142</v>
      </c>
      <c r="J172" s="4" t="s">
        <v>10</v>
      </c>
      <c r="K172" s="1" t="s">
        <v>13</v>
      </c>
      <c r="L172" s="1" t="s">
        <v>16</v>
      </c>
    </row>
    <row r="173" spans="1:12" x14ac:dyDescent="0.2">
      <c r="A173" s="65">
        <v>4</v>
      </c>
      <c r="B173" s="66" t="s">
        <v>248</v>
      </c>
      <c r="C173" s="2" t="s">
        <v>7</v>
      </c>
      <c r="D173" s="1" t="s">
        <v>20</v>
      </c>
      <c r="E173" s="2" t="s">
        <v>38</v>
      </c>
      <c r="F173" s="1" t="s">
        <v>8</v>
      </c>
      <c r="G173" s="70">
        <v>0.1</v>
      </c>
      <c r="H173" s="3">
        <v>9.966412213740449E-4</v>
      </c>
      <c r="I173" s="101">
        <v>2.2173913043478284</v>
      </c>
      <c r="J173" s="4" t="s">
        <v>10</v>
      </c>
      <c r="K173" s="1" t="s">
        <v>13</v>
      </c>
      <c r="L173" s="1" t="s">
        <v>28</v>
      </c>
    </row>
    <row r="174" spans="1:12" x14ac:dyDescent="0.2">
      <c r="A174" s="65">
        <v>4</v>
      </c>
      <c r="B174" s="66" t="s">
        <v>248</v>
      </c>
      <c r="C174" s="2" t="s">
        <v>7</v>
      </c>
      <c r="D174" s="1" t="s">
        <v>20</v>
      </c>
      <c r="E174" s="2" t="s">
        <v>38</v>
      </c>
      <c r="F174" s="1" t="s">
        <v>8</v>
      </c>
      <c r="G174" s="70">
        <v>1</v>
      </c>
      <c r="H174" s="3">
        <v>8.3623409669211096E-4</v>
      </c>
      <c r="I174" s="101">
        <v>1.8605072463768129</v>
      </c>
      <c r="J174" s="4" t="s">
        <v>10</v>
      </c>
      <c r="K174" s="1" t="s">
        <v>13</v>
      </c>
      <c r="L174" s="1" t="s">
        <v>14</v>
      </c>
    </row>
    <row r="175" spans="1:12" x14ac:dyDescent="0.2">
      <c r="A175" s="65">
        <v>4</v>
      </c>
      <c r="B175" s="66" t="s">
        <v>248</v>
      </c>
      <c r="C175" s="2" t="s">
        <v>7</v>
      </c>
      <c r="D175" s="1" t="s">
        <v>20</v>
      </c>
      <c r="E175" s="2" t="s">
        <v>38</v>
      </c>
      <c r="F175" s="1" t="s">
        <v>8</v>
      </c>
      <c r="G175" s="70">
        <v>10</v>
      </c>
      <c r="H175" s="3">
        <v>7.80865139949109E-4</v>
      </c>
      <c r="I175" s="101">
        <v>1.7373188405797124</v>
      </c>
      <c r="J175" s="4" t="s">
        <v>10</v>
      </c>
      <c r="K175" s="1" t="s">
        <v>13</v>
      </c>
      <c r="L175" s="1" t="s">
        <v>14</v>
      </c>
    </row>
    <row r="176" spans="1:12" x14ac:dyDescent="0.2">
      <c r="A176" s="65">
        <v>4</v>
      </c>
      <c r="B176" s="66" t="s">
        <v>248</v>
      </c>
      <c r="C176" s="2" t="s">
        <v>7</v>
      </c>
      <c r="D176" s="1" t="s">
        <v>20</v>
      </c>
      <c r="E176" s="2" t="s">
        <v>38</v>
      </c>
      <c r="F176" s="1" t="s">
        <v>8</v>
      </c>
      <c r="G176" s="70">
        <v>100</v>
      </c>
      <c r="H176" s="3">
        <v>7.85750636132315E-4</v>
      </c>
      <c r="I176" s="101">
        <v>1.7481884057971036</v>
      </c>
      <c r="J176" s="4" t="s">
        <v>10</v>
      </c>
      <c r="K176" s="1" t="s">
        <v>13</v>
      </c>
      <c r="L176" s="1" t="s">
        <v>14</v>
      </c>
    </row>
    <row r="177" spans="1:12" x14ac:dyDescent="0.2">
      <c r="A177" s="65">
        <v>4</v>
      </c>
      <c r="B177" s="66" t="s">
        <v>241</v>
      </c>
      <c r="C177" s="2" t="s">
        <v>7</v>
      </c>
      <c r="D177" s="1" t="s">
        <v>20</v>
      </c>
      <c r="E177" s="2" t="s">
        <v>38</v>
      </c>
      <c r="F177" s="1" t="s">
        <v>8</v>
      </c>
      <c r="G177" s="70">
        <v>0</v>
      </c>
      <c r="H177" s="3">
        <v>4.6493638676844702E-4</v>
      </c>
      <c r="I177" s="101">
        <v>1</v>
      </c>
      <c r="J177" s="4" t="s">
        <v>10</v>
      </c>
      <c r="K177" s="1" t="s">
        <v>11</v>
      </c>
      <c r="L177" s="1" t="s">
        <v>12</v>
      </c>
    </row>
    <row r="178" spans="1:12" x14ac:dyDescent="0.2">
      <c r="A178" s="65">
        <v>4</v>
      </c>
      <c r="B178" s="66" t="s">
        <v>241</v>
      </c>
      <c r="C178" s="2" t="s">
        <v>7</v>
      </c>
      <c r="D178" s="1" t="s">
        <v>20</v>
      </c>
      <c r="E178" s="2" t="s">
        <v>38</v>
      </c>
      <c r="F178" s="1" t="s">
        <v>8</v>
      </c>
      <c r="G178" s="70">
        <v>0.01</v>
      </c>
      <c r="H178" s="3">
        <v>1.126106870229E-3</v>
      </c>
      <c r="I178" s="101">
        <v>2.4220665499124219</v>
      </c>
      <c r="J178" s="4" t="s">
        <v>10</v>
      </c>
      <c r="K178" s="1" t="s">
        <v>13</v>
      </c>
      <c r="L178" s="1" t="s">
        <v>16</v>
      </c>
    </row>
    <row r="179" spans="1:12" x14ac:dyDescent="0.2">
      <c r="A179" s="65">
        <v>4</v>
      </c>
      <c r="B179" s="66" t="s">
        <v>241</v>
      </c>
      <c r="C179" s="2" t="s">
        <v>7</v>
      </c>
      <c r="D179" s="1" t="s">
        <v>20</v>
      </c>
      <c r="E179" s="2" t="s">
        <v>38</v>
      </c>
      <c r="F179" s="1" t="s">
        <v>8</v>
      </c>
      <c r="G179" s="70">
        <v>0.1</v>
      </c>
      <c r="H179" s="3">
        <v>1.2840712468193301E-3</v>
      </c>
      <c r="I179" s="101">
        <v>2.7618213660245052</v>
      </c>
      <c r="J179" s="4" t="s">
        <v>10</v>
      </c>
      <c r="K179" s="1" t="s">
        <v>13</v>
      </c>
      <c r="L179" s="1" t="s">
        <v>28</v>
      </c>
    </row>
    <row r="180" spans="1:12" x14ac:dyDescent="0.2">
      <c r="A180" s="65">
        <v>4</v>
      </c>
      <c r="B180" s="66" t="s">
        <v>241</v>
      </c>
      <c r="C180" s="2" t="s">
        <v>7</v>
      </c>
      <c r="D180" s="1" t="s">
        <v>20</v>
      </c>
      <c r="E180" s="2" t="s">
        <v>38</v>
      </c>
      <c r="F180" s="1" t="s">
        <v>8</v>
      </c>
      <c r="G180" s="70">
        <v>1</v>
      </c>
      <c r="H180" s="3">
        <v>1.0959796437658999E-3</v>
      </c>
      <c r="I180" s="101">
        <v>2.3572679509632195</v>
      </c>
      <c r="J180" s="4" t="s">
        <v>10</v>
      </c>
      <c r="K180" s="1" t="s">
        <v>13</v>
      </c>
      <c r="L180" s="1" t="s">
        <v>14</v>
      </c>
    </row>
    <row r="181" spans="1:12" x14ac:dyDescent="0.2">
      <c r="A181" s="65">
        <v>4</v>
      </c>
      <c r="B181" s="66" t="s">
        <v>241</v>
      </c>
      <c r="C181" s="2" t="s">
        <v>7</v>
      </c>
      <c r="D181" s="1" t="s">
        <v>20</v>
      </c>
      <c r="E181" s="2" t="s">
        <v>38</v>
      </c>
      <c r="F181" s="1" t="s">
        <v>8</v>
      </c>
      <c r="G181" s="70">
        <v>10</v>
      </c>
      <c r="H181" s="3">
        <v>1.16600508905852E-3</v>
      </c>
      <c r="I181" s="101">
        <v>2.5078809106830078</v>
      </c>
      <c r="J181" s="4" t="s">
        <v>10</v>
      </c>
      <c r="K181" s="1" t="s">
        <v>13</v>
      </c>
      <c r="L181" s="1" t="s">
        <v>16</v>
      </c>
    </row>
    <row r="182" spans="1:12" x14ac:dyDescent="0.2">
      <c r="A182" s="65">
        <v>4</v>
      </c>
      <c r="B182" s="66" t="s">
        <v>241</v>
      </c>
      <c r="C182" s="2" t="s">
        <v>7</v>
      </c>
      <c r="D182" s="1" t="s">
        <v>20</v>
      </c>
      <c r="E182" s="2" t="s">
        <v>38</v>
      </c>
      <c r="F182" s="1" t="s">
        <v>8</v>
      </c>
      <c r="G182" s="70">
        <v>100</v>
      </c>
      <c r="H182" s="3">
        <v>1.02269720101781E-3</v>
      </c>
      <c r="I182" s="101">
        <v>2.1996497373029773</v>
      </c>
      <c r="J182" s="4" t="s">
        <v>10</v>
      </c>
      <c r="K182" s="1" t="s">
        <v>13</v>
      </c>
      <c r="L182" s="1" t="s">
        <v>16</v>
      </c>
    </row>
    <row r="183" spans="1:12" x14ac:dyDescent="0.2">
      <c r="A183" s="65">
        <v>6</v>
      </c>
      <c r="B183" s="66" t="s">
        <v>236</v>
      </c>
      <c r="C183" s="2" t="s">
        <v>7</v>
      </c>
      <c r="D183" s="1" t="s">
        <v>20</v>
      </c>
      <c r="E183" s="2" t="s">
        <v>38</v>
      </c>
      <c r="F183" s="1" t="s">
        <v>8</v>
      </c>
      <c r="G183" s="70">
        <v>0</v>
      </c>
      <c r="H183" s="3">
        <v>1.9257831325301101E-4</v>
      </c>
      <c r="I183" s="101">
        <v>1</v>
      </c>
      <c r="J183" s="4" t="s">
        <v>10</v>
      </c>
      <c r="K183" s="1" t="s">
        <v>11</v>
      </c>
      <c r="L183" s="1" t="s">
        <v>12</v>
      </c>
    </row>
    <row r="184" spans="1:12" x14ac:dyDescent="0.2">
      <c r="A184" s="65">
        <v>6</v>
      </c>
      <c r="B184" s="66" t="s">
        <v>236</v>
      </c>
      <c r="C184" s="2" t="s">
        <v>7</v>
      </c>
      <c r="D184" s="1" t="s">
        <v>20</v>
      </c>
      <c r="E184" s="2" t="s">
        <v>38</v>
      </c>
      <c r="F184" s="1" t="s">
        <v>8</v>
      </c>
      <c r="G184" s="70">
        <v>0.1</v>
      </c>
      <c r="H184" s="3">
        <v>2.2727710843373401E-4</v>
      </c>
      <c r="I184" s="101">
        <v>1.1801801801801817</v>
      </c>
      <c r="J184" s="4" t="s">
        <v>10</v>
      </c>
      <c r="K184" s="1" t="s">
        <v>13</v>
      </c>
      <c r="L184" s="1" t="s">
        <v>12</v>
      </c>
    </row>
    <row r="185" spans="1:12" x14ac:dyDescent="0.2">
      <c r="A185" s="65">
        <v>6</v>
      </c>
      <c r="B185" s="66" t="s">
        <v>236</v>
      </c>
      <c r="C185" s="2" t="s">
        <v>7</v>
      </c>
      <c r="D185" s="1" t="s">
        <v>20</v>
      </c>
      <c r="E185" s="2" t="s">
        <v>38</v>
      </c>
      <c r="F185" s="1" t="s">
        <v>8</v>
      </c>
      <c r="G185" s="70">
        <v>0.5</v>
      </c>
      <c r="H185" s="3">
        <v>5.3089156626505896E-4</v>
      </c>
      <c r="I185" s="101">
        <v>2.756756756756765</v>
      </c>
      <c r="J185" s="4" t="s">
        <v>10</v>
      </c>
      <c r="K185" s="1" t="s">
        <v>13</v>
      </c>
      <c r="L185" s="1" t="s">
        <v>16</v>
      </c>
    </row>
    <row r="186" spans="1:12" x14ac:dyDescent="0.2">
      <c r="A186" s="65">
        <v>6</v>
      </c>
      <c r="B186" s="66" t="s">
        <v>236</v>
      </c>
      <c r="C186" s="2" t="s">
        <v>7</v>
      </c>
      <c r="D186" s="1" t="s">
        <v>20</v>
      </c>
      <c r="E186" s="2" t="s">
        <v>38</v>
      </c>
      <c r="F186" s="1" t="s">
        <v>8</v>
      </c>
      <c r="G186" s="70">
        <v>1</v>
      </c>
      <c r="H186" s="3">
        <v>9.5074698795180601E-4</v>
      </c>
      <c r="I186" s="101">
        <v>4.9369369369369576</v>
      </c>
      <c r="J186" s="4" t="s">
        <v>10</v>
      </c>
      <c r="K186" s="1" t="s">
        <v>13</v>
      </c>
      <c r="L186" s="1" t="s">
        <v>14</v>
      </c>
    </row>
    <row r="187" spans="1:12" x14ac:dyDescent="0.2">
      <c r="A187" s="65">
        <v>6</v>
      </c>
      <c r="B187" s="66" t="s">
        <v>236</v>
      </c>
      <c r="C187" s="2" t="s">
        <v>7</v>
      </c>
      <c r="D187" s="1" t="s">
        <v>20</v>
      </c>
      <c r="E187" s="2" t="s">
        <v>38</v>
      </c>
      <c r="F187" s="1" t="s">
        <v>8</v>
      </c>
      <c r="G187" s="70">
        <v>5</v>
      </c>
      <c r="H187" s="3">
        <v>1.38014457831325E-3</v>
      </c>
      <c r="I187" s="101">
        <v>7.1666666666666892</v>
      </c>
      <c r="J187" s="4" t="s">
        <v>10</v>
      </c>
      <c r="K187" s="1" t="s">
        <v>13</v>
      </c>
      <c r="L187" s="1" t="s">
        <v>28</v>
      </c>
    </row>
    <row r="188" spans="1:12" x14ac:dyDescent="0.2">
      <c r="A188" s="65">
        <v>6</v>
      </c>
      <c r="B188" s="66" t="s">
        <v>236</v>
      </c>
      <c r="C188" s="2" t="s">
        <v>7</v>
      </c>
      <c r="D188" s="1" t="s">
        <v>20</v>
      </c>
      <c r="E188" s="2" t="s">
        <v>38</v>
      </c>
      <c r="F188" s="1" t="s">
        <v>8</v>
      </c>
      <c r="G188" s="70">
        <v>10</v>
      </c>
      <c r="H188" s="3">
        <v>1.2404819277108401E-3</v>
      </c>
      <c r="I188" s="101">
        <v>6.4414414414414587</v>
      </c>
      <c r="J188" s="4" t="s">
        <v>10</v>
      </c>
      <c r="K188" s="1" t="s">
        <v>13</v>
      </c>
      <c r="L188" s="1" t="s">
        <v>14</v>
      </c>
    </row>
    <row r="189" spans="1:12" x14ac:dyDescent="0.2">
      <c r="A189" s="65">
        <v>6</v>
      </c>
      <c r="B189" s="66" t="s">
        <v>236</v>
      </c>
      <c r="C189" s="2" t="s">
        <v>7</v>
      </c>
      <c r="D189" s="1" t="s">
        <v>20</v>
      </c>
      <c r="E189" s="2" t="s">
        <v>38</v>
      </c>
      <c r="F189" s="1" t="s">
        <v>8</v>
      </c>
      <c r="G189" s="70">
        <v>50</v>
      </c>
      <c r="H189" s="3">
        <v>1.0756626506024001E-3</v>
      </c>
      <c r="I189" s="101">
        <v>5.5855855855855658</v>
      </c>
      <c r="J189" s="4" t="s">
        <v>10</v>
      </c>
      <c r="K189" s="1" t="s">
        <v>13</v>
      </c>
      <c r="L189" s="1" t="s">
        <v>14</v>
      </c>
    </row>
    <row r="190" spans="1:12" x14ac:dyDescent="0.2">
      <c r="A190" s="65">
        <v>6</v>
      </c>
      <c r="B190" s="66" t="s">
        <v>236</v>
      </c>
      <c r="C190" s="2" t="s">
        <v>7</v>
      </c>
      <c r="D190" s="1" t="s">
        <v>20</v>
      </c>
      <c r="E190" s="2" t="s">
        <v>38</v>
      </c>
      <c r="F190" s="1" t="s">
        <v>40</v>
      </c>
      <c r="G190" s="70">
        <v>100</v>
      </c>
      <c r="H190" s="3">
        <v>1.0687228915662601E-3</v>
      </c>
      <c r="I190" s="101">
        <v>5.5495495495495533</v>
      </c>
      <c r="J190" s="4" t="s">
        <v>10</v>
      </c>
      <c r="K190" s="1" t="s">
        <v>13</v>
      </c>
      <c r="L190" s="1" t="s">
        <v>14</v>
      </c>
    </row>
    <row r="191" spans="1:12" x14ac:dyDescent="0.2">
      <c r="A191" s="65">
        <v>32</v>
      </c>
      <c r="B191" s="66" t="s">
        <v>45</v>
      </c>
      <c r="C191" s="2" t="s">
        <v>7</v>
      </c>
      <c r="D191" s="1" t="s">
        <v>46</v>
      </c>
      <c r="E191" s="2" t="s">
        <v>7</v>
      </c>
      <c r="F191" s="1" t="s">
        <v>8</v>
      </c>
      <c r="G191" s="70">
        <v>0</v>
      </c>
      <c r="H191" s="3" t="s">
        <v>10</v>
      </c>
      <c r="I191" s="101">
        <v>1.0092715231788001</v>
      </c>
      <c r="J191" s="4" t="s">
        <v>10</v>
      </c>
      <c r="K191" s="1" t="s">
        <v>11</v>
      </c>
      <c r="L191" s="1" t="s">
        <v>12</v>
      </c>
    </row>
    <row r="192" spans="1:12" x14ac:dyDescent="0.2">
      <c r="A192" s="65">
        <v>32</v>
      </c>
      <c r="B192" s="66" t="s">
        <v>45</v>
      </c>
      <c r="C192" s="2" t="s">
        <v>7</v>
      </c>
      <c r="D192" s="1" t="s">
        <v>46</v>
      </c>
      <c r="E192" s="2" t="s">
        <v>7</v>
      </c>
      <c r="F192" s="1" t="s">
        <v>8</v>
      </c>
      <c r="G192" s="70">
        <v>3.0006000000000004E-5</v>
      </c>
      <c r="H192" s="3" t="s">
        <v>10</v>
      </c>
      <c r="I192" s="101">
        <v>2.5589403973509901</v>
      </c>
      <c r="J192" s="4" t="s">
        <v>10</v>
      </c>
      <c r="K192" s="1" t="s">
        <v>13</v>
      </c>
      <c r="L192" s="1" t="s">
        <v>16</v>
      </c>
    </row>
    <row r="193" spans="1:12" x14ac:dyDescent="0.2">
      <c r="A193" s="65">
        <v>32</v>
      </c>
      <c r="B193" s="66" t="s">
        <v>45</v>
      </c>
      <c r="C193" s="2" t="s">
        <v>7</v>
      </c>
      <c r="D193" s="1" t="s">
        <v>46</v>
      </c>
      <c r="E193" s="2" t="s">
        <v>7</v>
      </c>
      <c r="F193" s="1" t="s">
        <v>8</v>
      </c>
      <c r="G193" s="70">
        <v>1.5003E-4</v>
      </c>
      <c r="H193" s="3" t="s">
        <v>10</v>
      </c>
      <c r="I193" s="101">
        <v>3.2344370860927101</v>
      </c>
      <c r="J193" s="4" t="s">
        <v>10</v>
      </c>
      <c r="K193" s="1" t="s">
        <v>13</v>
      </c>
      <c r="L193" s="1" t="s">
        <v>16</v>
      </c>
    </row>
    <row r="194" spans="1:12" x14ac:dyDescent="0.2">
      <c r="A194" s="65">
        <v>32</v>
      </c>
      <c r="B194" s="66" t="s">
        <v>45</v>
      </c>
      <c r="C194" s="2" t="s">
        <v>7</v>
      </c>
      <c r="D194" s="1" t="s">
        <v>46</v>
      </c>
      <c r="E194" s="2" t="s">
        <v>7</v>
      </c>
      <c r="F194" s="1" t="s">
        <v>8</v>
      </c>
      <c r="G194" s="70">
        <v>6.3012600000000004E-3</v>
      </c>
      <c r="H194" s="3" t="s">
        <v>10</v>
      </c>
      <c r="I194" s="101">
        <v>4.9033112582781397</v>
      </c>
      <c r="J194" s="4" t="s">
        <v>10</v>
      </c>
      <c r="K194" s="1" t="s">
        <v>13</v>
      </c>
      <c r="L194" s="1" t="s">
        <v>14</v>
      </c>
    </row>
    <row r="195" spans="1:12" x14ac:dyDescent="0.2">
      <c r="A195" s="65">
        <v>32</v>
      </c>
      <c r="B195" s="66" t="s">
        <v>45</v>
      </c>
      <c r="C195" s="2" t="s">
        <v>7</v>
      </c>
      <c r="D195" s="1" t="s">
        <v>46</v>
      </c>
      <c r="E195" s="2" t="s">
        <v>7</v>
      </c>
      <c r="F195" s="1" t="s">
        <v>8</v>
      </c>
      <c r="G195" s="70">
        <v>1.2302459999999999E-2</v>
      </c>
      <c r="H195" s="3" t="s">
        <v>10</v>
      </c>
      <c r="I195" s="101">
        <v>6.6754966887417204</v>
      </c>
      <c r="J195" s="4" t="s">
        <v>10</v>
      </c>
      <c r="K195" s="1" t="s">
        <v>13</v>
      </c>
      <c r="L195" s="1" t="s">
        <v>28</v>
      </c>
    </row>
    <row r="196" spans="1:12" x14ac:dyDescent="0.2">
      <c r="A196" s="65">
        <v>32</v>
      </c>
      <c r="B196" s="66" t="s">
        <v>45</v>
      </c>
      <c r="C196" s="2" t="s">
        <v>7</v>
      </c>
      <c r="D196" s="1" t="s">
        <v>46</v>
      </c>
      <c r="E196" s="2" t="s">
        <v>7</v>
      </c>
      <c r="F196" s="1" t="s">
        <v>8</v>
      </c>
      <c r="G196" s="70">
        <v>1.9503900000000001E-2</v>
      </c>
      <c r="H196" s="3" t="s">
        <v>10</v>
      </c>
      <c r="I196" s="101">
        <v>9.2264900662251605</v>
      </c>
      <c r="J196" s="4" t="s">
        <v>10</v>
      </c>
      <c r="K196" s="1" t="s">
        <v>13</v>
      </c>
      <c r="L196" s="1" t="s">
        <v>28</v>
      </c>
    </row>
    <row r="197" spans="1:12" x14ac:dyDescent="0.2">
      <c r="A197" s="65">
        <v>32</v>
      </c>
      <c r="B197" s="66" t="s">
        <v>45</v>
      </c>
      <c r="C197" s="2" t="s">
        <v>7</v>
      </c>
      <c r="D197" s="1" t="s">
        <v>46</v>
      </c>
      <c r="E197" s="2" t="s">
        <v>7</v>
      </c>
      <c r="F197" s="1" t="s">
        <v>8</v>
      </c>
      <c r="G197" s="70">
        <v>3.1206240000000003E-2</v>
      </c>
      <c r="H197" s="3" t="s">
        <v>10</v>
      </c>
      <c r="I197" s="101">
        <v>7.4145695364238398</v>
      </c>
      <c r="J197" s="4" t="s">
        <v>10</v>
      </c>
      <c r="K197" s="1" t="s">
        <v>13</v>
      </c>
      <c r="L197" s="1" t="s">
        <v>28</v>
      </c>
    </row>
    <row r="198" spans="1:12" x14ac:dyDescent="0.2">
      <c r="A198" s="65">
        <v>32</v>
      </c>
      <c r="B198" s="66" t="s">
        <v>45</v>
      </c>
      <c r="C198" s="2" t="s">
        <v>7</v>
      </c>
      <c r="D198" s="1" t="s">
        <v>46</v>
      </c>
      <c r="E198" s="2" t="s">
        <v>47</v>
      </c>
      <c r="G198" s="70">
        <v>0</v>
      </c>
      <c r="H198" s="3" t="s">
        <v>10</v>
      </c>
      <c r="I198" s="101">
        <v>1.00218658892128</v>
      </c>
      <c r="J198" s="4" t="s">
        <v>10</v>
      </c>
      <c r="K198" s="1" t="s">
        <v>11</v>
      </c>
      <c r="L198" s="1" t="s">
        <v>12</v>
      </c>
    </row>
    <row r="199" spans="1:12" x14ac:dyDescent="0.2">
      <c r="A199" s="65">
        <v>32</v>
      </c>
      <c r="B199" s="66" t="s">
        <v>45</v>
      </c>
      <c r="C199" s="2" t="s">
        <v>7</v>
      </c>
      <c r="D199" s="1" t="s">
        <v>46</v>
      </c>
      <c r="E199" s="2" t="s">
        <v>47</v>
      </c>
      <c r="G199" s="70">
        <v>3.0006000000000004E-5</v>
      </c>
      <c r="H199" s="3" t="s">
        <v>10</v>
      </c>
      <c r="I199" s="101">
        <v>1.18440233236151</v>
      </c>
      <c r="J199" s="4" t="s">
        <v>10</v>
      </c>
      <c r="K199" s="1" t="s">
        <v>13</v>
      </c>
      <c r="L199" s="1" t="s">
        <v>12</v>
      </c>
    </row>
    <row r="200" spans="1:12" x14ac:dyDescent="0.2">
      <c r="A200" s="65">
        <v>32</v>
      </c>
      <c r="B200" s="66" t="s">
        <v>45</v>
      </c>
      <c r="C200" s="2" t="s">
        <v>7</v>
      </c>
      <c r="D200" s="1" t="s">
        <v>46</v>
      </c>
      <c r="E200" s="2" t="s">
        <v>47</v>
      </c>
      <c r="G200" s="70">
        <v>1.5003E-4</v>
      </c>
      <c r="H200" s="3" t="s">
        <v>10</v>
      </c>
      <c r="I200" s="101">
        <v>1.28279883381924</v>
      </c>
      <c r="J200" s="4" t="s">
        <v>10</v>
      </c>
      <c r="K200" s="1" t="s">
        <v>13</v>
      </c>
      <c r="L200" s="1" t="s">
        <v>12</v>
      </c>
    </row>
    <row r="201" spans="1:12" x14ac:dyDescent="0.2">
      <c r="A201" s="65">
        <v>32</v>
      </c>
      <c r="B201" s="66" t="s">
        <v>45</v>
      </c>
      <c r="C201" s="2" t="s">
        <v>7</v>
      </c>
      <c r="D201" s="1" t="s">
        <v>46</v>
      </c>
      <c r="E201" s="2" t="s">
        <v>47</v>
      </c>
      <c r="G201" s="70">
        <v>6.3012600000000004E-3</v>
      </c>
      <c r="H201" s="3" t="s">
        <v>10</v>
      </c>
      <c r="I201" s="101">
        <v>1.4540816326530599</v>
      </c>
      <c r="J201" s="4" t="s">
        <v>10</v>
      </c>
      <c r="K201" s="1" t="s">
        <v>13</v>
      </c>
      <c r="L201" s="1" t="s">
        <v>16</v>
      </c>
    </row>
    <row r="202" spans="1:12" x14ac:dyDescent="0.2">
      <c r="A202" s="65">
        <v>32</v>
      </c>
      <c r="B202" s="66" t="s">
        <v>45</v>
      </c>
      <c r="C202" s="2" t="s">
        <v>7</v>
      </c>
      <c r="D202" s="1" t="s">
        <v>46</v>
      </c>
      <c r="E202" s="2" t="s">
        <v>47</v>
      </c>
      <c r="G202" s="70">
        <v>1.2302459999999999E-2</v>
      </c>
      <c r="H202" s="3" t="s">
        <v>10</v>
      </c>
      <c r="I202" s="101">
        <v>2.68586005830903</v>
      </c>
      <c r="J202" s="4" t="s">
        <v>10</v>
      </c>
      <c r="K202" s="1" t="s">
        <v>13</v>
      </c>
      <c r="L202" s="1" t="s">
        <v>14</v>
      </c>
    </row>
    <row r="203" spans="1:12" x14ac:dyDescent="0.2">
      <c r="A203" s="65">
        <v>32</v>
      </c>
      <c r="B203" s="66" t="s">
        <v>45</v>
      </c>
      <c r="C203" s="2" t="s">
        <v>7</v>
      </c>
      <c r="D203" s="1" t="s">
        <v>46</v>
      </c>
      <c r="E203" s="2" t="s">
        <v>47</v>
      </c>
      <c r="G203" s="70">
        <v>1.9503900000000001E-2</v>
      </c>
      <c r="H203" s="3" t="s">
        <v>10</v>
      </c>
      <c r="I203" s="101">
        <v>4.3695335276967899</v>
      </c>
      <c r="J203" s="4" t="s">
        <v>10</v>
      </c>
      <c r="K203" s="1" t="s">
        <v>13</v>
      </c>
      <c r="L203" s="1" t="s">
        <v>28</v>
      </c>
    </row>
    <row r="204" spans="1:12" x14ac:dyDescent="0.2">
      <c r="A204" s="65">
        <v>32</v>
      </c>
      <c r="B204" s="66" t="s">
        <v>45</v>
      </c>
      <c r="C204" s="2" t="s">
        <v>7</v>
      </c>
      <c r="D204" s="1" t="s">
        <v>46</v>
      </c>
      <c r="E204" s="2" t="s">
        <v>47</v>
      </c>
      <c r="G204" s="70">
        <v>3.1206240000000003E-2</v>
      </c>
      <c r="H204" s="3" t="s">
        <v>10</v>
      </c>
      <c r="I204" s="101">
        <v>3.3673469387755102</v>
      </c>
      <c r="J204" s="4" t="s">
        <v>10</v>
      </c>
      <c r="K204" s="1" t="s">
        <v>13</v>
      </c>
      <c r="L204" s="1" t="s">
        <v>28</v>
      </c>
    </row>
    <row r="205" spans="1:12" ht="21" customHeight="1" x14ac:dyDescent="0.2">
      <c r="A205" s="65">
        <v>23</v>
      </c>
      <c r="B205" s="66" t="s">
        <v>42</v>
      </c>
      <c r="C205" s="2" t="s">
        <v>7</v>
      </c>
      <c r="D205" s="1" t="s">
        <v>48</v>
      </c>
      <c r="E205" s="2" t="s">
        <v>7</v>
      </c>
      <c r="F205" s="1" t="s">
        <v>9</v>
      </c>
      <c r="G205" s="70">
        <v>0</v>
      </c>
      <c r="H205" s="3">
        <v>1.1875000000000001E-6</v>
      </c>
      <c r="I205" s="101">
        <v>1</v>
      </c>
      <c r="J205" s="4" t="s">
        <v>10</v>
      </c>
      <c r="K205" s="1" t="s">
        <v>11</v>
      </c>
      <c r="L205" s="1" t="s">
        <v>12</v>
      </c>
    </row>
    <row r="206" spans="1:12" x14ac:dyDescent="0.2">
      <c r="A206" s="65">
        <v>23</v>
      </c>
      <c r="B206" s="66" t="s">
        <v>42</v>
      </c>
      <c r="C206" s="2" t="s">
        <v>7</v>
      </c>
      <c r="D206" s="1" t="s">
        <v>48</v>
      </c>
      <c r="E206" s="2" t="s">
        <v>7</v>
      </c>
      <c r="F206" s="1" t="s">
        <v>9</v>
      </c>
      <c r="G206" s="70">
        <v>0.1</v>
      </c>
      <c r="H206" s="3">
        <v>1.1875000000000001E-6</v>
      </c>
      <c r="I206" s="101">
        <v>1</v>
      </c>
      <c r="J206" s="4" t="s">
        <v>10</v>
      </c>
      <c r="K206" s="1" t="s">
        <v>13</v>
      </c>
      <c r="L206" s="1" t="s">
        <v>12</v>
      </c>
    </row>
    <row r="207" spans="1:12" x14ac:dyDescent="0.2">
      <c r="A207" s="65">
        <v>23</v>
      </c>
      <c r="B207" s="66" t="s">
        <v>42</v>
      </c>
      <c r="C207" s="2" t="s">
        <v>7</v>
      </c>
      <c r="D207" s="1" t="s">
        <v>48</v>
      </c>
      <c r="E207" s="2" t="s">
        <v>7</v>
      </c>
      <c r="F207" s="1" t="s">
        <v>9</v>
      </c>
      <c r="G207" s="70">
        <v>1</v>
      </c>
      <c r="H207" s="3">
        <v>2.28125E-6</v>
      </c>
      <c r="I207" s="101">
        <v>1.9210526315789473</v>
      </c>
      <c r="J207" s="4" t="s">
        <v>10</v>
      </c>
      <c r="K207" s="1" t="s">
        <v>13</v>
      </c>
      <c r="L207" s="1" t="s">
        <v>12</v>
      </c>
    </row>
    <row r="208" spans="1:12" x14ac:dyDescent="0.2">
      <c r="A208" s="65">
        <v>23</v>
      </c>
      <c r="B208" s="66" t="s">
        <v>42</v>
      </c>
      <c r="C208" s="2" t="s">
        <v>7</v>
      </c>
      <c r="D208" s="1" t="s">
        <v>48</v>
      </c>
      <c r="E208" s="2" t="s">
        <v>7</v>
      </c>
      <c r="F208" s="1" t="s">
        <v>9</v>
      </c>
      <c r="G208" s="70">
        <v>10</v>
      </c>
      <c r="H208" s="3">
        <v>2.4062499999999899E-6</v>
      </c>
      <c r="I208" s="101">
        <v>2.0263157894736756</v>
      </c>
      <c r="J208" s="4" t="s">
        <v>10</v>
      </c>
      <c r="K208" s="1" t="s">
        <v>13</v>
      </c>
      <c r="L208" s="1" t="s">
        <v>14</v>
      </c>
    </row>
    <row r="209" spans="1:12" x14ac:dyDescent="0.2">
      <c r="A209" s="65">
        <v>23</v>
      </c>
      <c r="B209" s="66" t="s">
        <v>42</v>
      </c>
      <c r="C209" s="2" t="s">
        <v>7</v>
      </c>
      <c r="D209" s="1" t="s">
        <v>48</v>
      </c>
      <c r="E209" s="2" t="s">
        <v>7</v>
      </c>
      <c r="F209" s="1" t="s">
        <v>9</v>
      </c>
      <c r="G209" s="70">
        <v>50</v>
      </c>
      <c r="H209" s="3">
        <v>3.1250000000000799E-8</v>
      </c>
      <c r="I209" s="101">
        <v>2.6315789473684882E-2</v>
      </c>
      <c r="J209" s="4" t="s">
        <v>10</v>
      </c>
      <c r="K209" s="1" t="s">
        <v>15</v>
      </c>
      <c r="L209" s="1" t="s">
        <v>36</v>
      </c>
    </row>
    <row r="210" spans="1:12" x14ac:dyDescent="0.2">
      <c r="A210" s="65">
        <v>23</v>
      </c>
      <c r="B210" s="66" t="s">
        <v>42</v>
      </c>
      <c r="C210" s="2" t="s">
        <v>7</v>
      </c>
      <c r="D210" s="1" t="s">
        <v>48</v>
      </c>
      <c r="E210" s="2" t="s">
        <v>7</v>
      </c>
      <c r="F210" s="1" t="s">
        <v>9</v>
      </c>
      <c r="G210" s="70">
        <v>100</v>
      </c>
      <c r="H210" s="3">
        <v>3.1250000000000799E-8</v>
      </c>
      <c r="I210" s="101">
        <v>2.6315789473684882E-2</v>
      </c>
      <c r="J210" s="4" t="s">
        <v>10</v>
      </c>
      <c r="K210" s="1" t="s">
        <v>15</v>
      </c>
      <c r="L210" s="1" t="s">
        <v>36</v>
      </c>
    </row>
    <row r="211" spans="1:12" x14ac:dyDescent="0.2">
      <c r="A211" s="65">
        <v>23</v>
      </c>
      <c r="B211" s="66" t="s">
        <v>49</v>
      </c>
      <c r="C211" s="2" t="s">
        <v>7</v>
      </c>
      <c r="D211" s="1" t="s">
        <v>48</v>
      </c>
      <c r="E211" s="2" t="s">
        <v>7</v>
      </c>
      <c r="F211" s="1" t="s">
        <v>9</v>
      </c>
      <c r="G211" s="70">
        <v>0</v>
      </c>
      <c r="H211" s="3">
        <v>1.1562499999999999E-6</v>
      </c>
      <c r="I211" s="101">
        <v>1</v>
      </c>
      <c r="J211" s="4" t="s">
        <v>10</v>
      </c>
      <c r="K211" s="1" t="s">
        <v>11</v>
      </c>
      <c r="L211" s="1" t="s">
        <v>12</v>
      </c>
    </row>
    <row r="212" spans="1:12" x14ac:dyDescent="0.2">
      <c r="A212" s="65">
        <v>23</v>
      </c>
      <c r="B212" s="66" t="s">
        <v>49</v>
      </c>
      <c r="C212" s="2" t="s">
        <v>7</v>
      </c>
      <c r="D212" s="1" t="s">
        <v>48</v>
      </c>
      <c r="E212" s="2" t="s">
        <v>7</v>
      </c>
      <c r="F212" s="1" t="s">
        <v>9</v>
      </c>
      <c r="G212" s="70">
        <v>0.1</v>
      </c>
      <c r="H212" s="3">
        <v>1.09374999999999E-6</v>
      </c>
      <c r="I212" s="101">
        <v>0.94594594594593728</v>
      </c>
      <c r="J212" s="4" t="s">
        <v>10</v>
      </c>
      <c r="K212" s="1" t="s">
        <v>11</v>
      </c>
      <c r="L212" s="1" t="s">
        <v>12</v>
      </c>
    </row>
    <row r="213" spans="1:12" x14ac:dyDescent="0.2">
      <c r="A213" s="65">
        <v>23</v>
      </c>
      <c r="B213" s="66" t="s">
        <v>49</v>
      </c>
      <c r="C213" s="2" t="s">
        <v>7</v>
      </c>
      <c r="D213" s="1" t="s">
        <v>48</v>
      </c>
      <c r="E213" s="2" t="s">
        <v>7</v>
      </c>
      <c r="F213" s="1" t="s">
        <v>9</v>
      </c>
      <c r="G213" s="70">
        <v>1</v>
      </c>
      <c r="H213" s="3">
        <v>1.4062500000000001E-6</v>
      </c>
      <c r="I213" s="101">
        <v>1.2162162162162165</v>
      </c>
      <c r="J213" s="4" t="s">
        <v>10</v>
      </c>
      <c r="K213" s="1" t="s">
        <v>11</v>
      </c>
      <c r="L213" s="1" t="s">
        <v>16</v>
      </c>
    </row>
    <row r="214" spans="1:12" x14ac:dyDescent="0.2">
      <c r="A214" s="65">
        <v>23</v>
      </c>
      <c r="B214" s="66" t="s">
        <v>49</v>
      </c>
      <c r="C214" s="2" t="s">
        <v>7</v>
      </c>
      <c r="D214" s="1" t="s">
        <v>48</v>
      </c>
      <c r="E214" s="2" t="s">
        <v>7</v>
      </c>
      <c r="F214" s="1" t="s">
        <v>9</v>
      </c>
      <c r="G214" s="70">
        <v>10</v>
      </c>
      <c r="H214" s="3">
        <v>4.8124999999999899E-6</v>
      </c>
      <c r="I214" s="101">
        <v>4.1621621621621534</v>
      </c>
      <c r="J214" s="4" t="s">
        <v>10</v>
      </c>
      <c r="K214" s="1" t="s">
        <v>13</v>
      </c>
      <c r="L214" s="1" t="s">
        <v>14</v>
      </c>
    </row>
    <row r="215" spans="1:12" x14ac:dyDescent="0.2">
      <c r="A215" s="65">
        <v>23</v>
      </c>
      <c r="B215" s="66" t="s">
        <v>49</v>
      </c>
      <c r="C215" s="2" t="s">
        <v>7</v>
      </c>
      <c r="D215" s="1" t="s">
        <v>48</v>
      </c>
      <c r="E215" s="2" t="s">
        <v>7</v>
      </c>
      <c r="F215" s="1" t="s">
        <v>9</v>
      </c>
      <c r="G215" s="70">
        <v>50</v>
      </c>
      <c r="H215" s="3">
        <v>3.1250000000000799E-8</v>
      </c>
      <c r="I215" s="101">
        <v>2.7027027027027719E-2</v>
      </c>
      <c r="J215" s="4" t="s">
        <v>10</v>
      </c>
      <c r="K215" s="1" t="s">
        <v>15</v>
      </c>
      <c r="L215" s="1" t="s">
        <v>36</v>
      </c>
    </row>
    <row r="216" spans="1:12" x14ac:dyDescent="0.2">
      <c r="A216" s="65">
        <v>23</v>
      </c>
      <c r="B216" s="66" t="s">
        <v>49</v>
      </c>
      <c r="C216" s="2" t="s">
        <v>7</v>
      </c>
      <c r="D216" s="1" t="s">
        <v>48</v>
      </c>
      <c r="E216" s="2" t="s">
        <v>7</v>
      </c>
      <c r="F216" s="1" t="s">
        <v>9</v>
      </c>
      <c r="G216" s="70">
        <v>100</v>
      </c>
      <c r="H216" s="3">
        <v>3.1250000000000799E-8</v>
      </c>
      <c r="I216" s="101">
        <v>2.7027027027027719E-2</v>
      </c>
      <c r="J216" s="4" t="s">
        <v>10</v>
      </c>
      <c r="K216" s="1" t="s">
        <v>15</v>
      </c>
      <c r="L216" s="1" t="s">
        <v>36</v>
      </c>
    </row>
    <row r="217" spans="1:12" x14ac:dyDescent="0.2">
      <c r="A217" s="65">
        <v>23</v>
      </c>
      <c r="B217" s="66" t="s">
        <v>50</v>
      </c>
      <c r="C217" s="2" t="s">
        <v>7</v>
      </c>
      <c r="D217" s="1" t="s">
        <v>48</v>
      </c>
      <c r="E217" s="2" t="s">
        <v>7</v>
      </c>
      <c r="F217" s="1" t="s">
        <v>9</v>
      </c>
      <c r="G217" s="70">
        <v>0</v>
      </c>
      <c r="H217" s="3">
        <v>1.1562499999999999E-6</v>
      </c>
      <c r="I217" s="101">
        <v>1</v>
      </c>
      <c r="J217" s="4" t="s">
        <v>10</v>
      </c>
      <c r="K217" s="1" t="s">
        <v>11</v>
      </c>
      <c r="L217" s="1" t="s">
        <v>12</v>
      </c>
    </row>
    <row r="218" spans="1:12" x14ac:dyDescent="0.2">
      <c r="A218" s="65">
        <v>23</v>
      </c>
      <c r="B218" s="66" t="s">
        <v>50</v>
      </c>
      <c r="C218" s="2" t="s">
        <v>7</v>
      </c>
      <c r="D218" s="1" t="s">
        <v>48</v>
      </c>
      <c r="E218" s="2" t="s">
        <v>7</v>
      </c>
      <c r="F218" s="1" t="s">
        <v>9</v>
      </c>
      <c r="G218" s="70">
        <v>0.1</v>
      </c>
      <c r="H218" s="3">
        <v>1.1875000000000001E-6</v>
      </c>
      <c r="I218" s="101">
        <v>1.0270270270270272</v>
      </c>
      <c r="J218" s="4" t="s">
        <v>10</v>
      </c>
      <c r="K218" s="1" t="s">
        <v>11</v>
      </c>
      <c r="L218" s="1" t="s">
        <v>12</v>
      </c>
    </row>
    <row r="219" spans="1:12" x14ac:dyDescent="0.2">
      <c r="A219" s="65">
        <v>23</v>
      </c>
      <c r="B219" s="66" t="s">
        <v>50</v>
      </c>
      <c r="C219" s="2" t="s">
        <v>7</v>
      </c>
      <c r="D219" s="1" t="s">
        <v>48</v>
      </c>
      <c r="E219" s="2" t="s">
        <v>7</v>
      </c>
      <c r="F219" s="1" t="s">
        <v>9</v>
      </c>
      <c r="G219" s="70">
        <v>1</v>
      </c>
      <c r="H219" s="3">
        <v>2.4687499999999999E-6</v>
      </c>
      <c r="I219" s="101">
        <v>2.1351351351351351</v>
      </c>
      <c r="J219" s="4" t="s">
        <v>10</v>
      </c>
      <c r="K219" s="1" t="s">
        <v>13</v>
      </c>
      <c r="L219" s="1" t="s">
        <v>14</v>
      </c>
    </row>
    <row r="220" spans="1:12" x14ac:dyDescent="0.2">
      <c r="A220" s="65">
        <v>23</v>
      </c>
      <c r="B220" s="66" t="s">
        <v>50</v>
      </c>
      <c r="C220" s="2" t="s">
        <v>7</v>
      </c>
      <c r="D220" s="1" t="s">
        <v>48</v>
      </c>
      <c r="E220" s="2" t="s">
        <v>7</v>
      </c>
      <c r="F220" s="1" t="s">
        <v>9</v>
      </c>
      <c r="G220" s="70">
        <v>10</v>
      </c>
      <c r="H220" s="3">
        <v>9.0625000000000001E-6</v>
      </c>
      <c r="I220" s="101">
        <v>7.8378378378378386</v>
      </c>
      <c r="J220" s="4" t="s">
        <v>10</v>
      </c>
      <c r="K220" s="1" t="s">
        <v>13</v>
      </c>
      <c r="L220" s="1" t="s">
        <v>14</v>
      </c>
    </row>
    <row r="221" spans="1:12" x14ac:dyDescent="0.2">
      <c r="A221" s="65">
        <v>23</v>
      </c>
      <c r="B221" s="66" t="s">
        <v>50</v>
      </c>
      <c r="C221" s="2" t="s">
        <v>7</v>
      </c>
      <c r="D221" s="1" t="s">
        <v>48</v>
      </c>
      <c r="E221" s="2" t="s">
        <v>7</v>
      </c>
      <c r="F221" s="1" t="s">
        <v>9</v>
      </c>
      <c r="G221" s="70">
        <v>50</v>
      </c>
      <c r="H221" s="3">
        <v>6.2500000000001599E-8</v>
      </c>
      <c r="I221" s="101">
        <v>5.4054054054055438E-2</v>
      </c>
      <c r="J221" s="4" t="s">
        <v>10</v>
      </c>
      <c r="K221" s="1" t="s">
        <v>15</v>
      </c>
      <c r="L221" s="1" t="s">
        <v>36</v>
      </c>
    </row>
    <row r="222" spans="1:12" x14ac:dyDescent="0.2">
      <c r="A222" s="65">
        <v>23</v>
      </c>
      <c r="B222" s="66" t="s">
        <v>50</v>
      </c>
      <c r="C222" s="2" t="s">
        <v>7</v>
      </c>
      <c r="D222" s="1" t="s">
        <v>48</v>
      </c>
      <c r="E222" s="2" t="s">
        <v>7</v>
      </c>
      <c r="F222" s="1" t="s">
        <v>9</v>
      </c>
      <c r="G222" s="70">
        <v>100</v>
      </c>
      <c r="H222" s="3">
        <v>6.2500000000001599E-8</v>
      </c>
      <c r="I222" s="101">
        <v>5.4054054054055438E-2</v>
      </c>
      <c r="J222" s="4" t="s">
        <v>10</v>
      </c>
      <c r="K222" s="1" t="s">
        <v>15</v>
      </c>
      <c r="L222" s="1" t="s">
        <v>36</v>
      </c>
    </row>
    <row r="223" spans="1:12" x14ac:dyDescent="0.2">
      <c r="A223" s="65">
        <v>23</v>
      </c>
      <c r="B223" s="66" t="s">
        <v>51</v>
      </c>
      <c r="C223" s="2" t="s">
        <v>7</v>
      </c>
      <c r="D223" s="1" t="s">
        <v>48</v>
      </c>
      <c r="E223" s="2" t="s">
        <v>7</v>
      </c>
      <c r="F223" s="1" t="s">
        <v>9</v>
      </c>
      <c r="G223" s="70">
        <v>0</v>
      </c>
      <c r="H223" s="3">
        <v>2.3124999999999999E-6</v>
      </c>
      <c r="I223" s="101">
        <v>1</v>
      </c>
      <c r="J223" s="4" t="s">
        <v>10</v>
      </c>
      <c r="K223" s="1" t="s">
        <v>11</v>
      </c>
      <c r="L223" s="1" t="s">
        <v>12</v>
      </c>
    </row>
    <row r="224" spans="1:12" x14ac:dyDescent="0.2">
      <c r="A224" s="65">
        <v>23</v>
      </c>
      <c r="B224" s="66" t="s">
        <v>51</v>
      </c>
      <c r="C224" s="2" t="s">
        <v>7</v>
      </c>
      <c r="D224" s="1" t="s">
        <v>48</v>
      </c>
      <c r="E224" s="2" t="s">
        <v>7</v>
      </c>
      <c r="F224" s="1" t="s">
        <v>9</v>
      </c>
      <c r="G224" s="70">
        <v>0.1</v>
      </c>
      <c r="H224" s="3">
        <v>3.6562499999999999E-6</v>
      </c>
      <c r="I224" s="101">
        <v>1.5810810810810811</v>
      </c>
      <c r="J224" s="4" t="s">
        <v>10</v>
      </c>
      <c r="K224" s="1" t="s">
        <v>13</v>
      </c>
      <c r="L224" s="1" t="s">
        <v>12</v>
      </c>
    </row>
    <row r="225" spans="1:12" x14ac:dyDescent="0.2">
      <c r="A225" s="65">
        <v>23</v>
      </c>
      <c r="B225" s="66" t="s">
        <v>51</v>
      </c>
      <c r="C225" s="2" t="s">
        <v>7</v>
      </c>
      <c r="D225" s="1" t="s">
        <v>48</v>
      </c>
      <c r="E225" s="2" t="s">
        <v>7</v>
      </c>
      <c r="F225" s="1" t="s">
        <v>9</v>
      </c>
      <c r="G225" s="70">
        <v>1</v>
      </c>
      <c r="H225" s="3">
        <v>5.0937500000000001E-6</v>
      </c>
      <c r="I225" s="101">
        <v>2.2027027027027031</v>
      </c>
      <c r="J225" s="4" t="s">
        <v>10</v>
      </c>
      <c r="K225" s="1" t="s">
        <v>13</v>
      </c>
      <c r="L225" s="1" t="s">
        <v>14</v>
      </c>
    </row>
    <row r="226" spans="1:12" x14ac:dyDescent="0.2">
      <c r="A226" s="65">
        <v>23</v>
      </c>
      <c r="B226" s="66" t="s">
        <v>51</v>
      </c>
      <c r="C226" s="2" t="s">
        <v>7</v>
      </c>
      <c r="D226" s="1" t="s">
        <v>48</v>
      </c>
      <c r="E226" s="2" t="s">
        <v>7</v>
      </c>
      <c r="F226" s="1" t="s">
        <v>9</v>
      </c>
      <c r="G226" s="70">
        <v>10</v>
      </c>
      <c r="H226" s="3">
        <v>8.8124999999999906E-6</v>
      </c>
      <c r="I226" s="101">
        <v>3.810810810810807</v>
      </c>
      <c r="J226" s="4" t="s">
        <v>10</v>
      </c>
      <c r="K226" s="1" t="s">
        <v>13</v>
      </c>
      <c r="L226" s="1" t="s">
        <v>14</v>
      </c>
    </row>
    <row r="227" spans="1:12" x14ac:dyDescent="0.2">
      <c r="A227" s="65">
        <v>23</v>
      </c>
      <c r="B227" s="66" t="s">
        <v>51</v>
      </c>
      <c r="C227" s="2" t="s">
        <v>7</v>
      </c>
      <c r="D227" s="1" t="s">
        <v>48</v>
      </c>
      <c r="E227" s="2" t="s">
        <v>7</v>
      </c>
      <c r="F227" s="1" t="s">
        <v>9</v>
      </c>
      <c r="G227" s="70">
        <v>50</v>
      </c>
      <c r="H227" s="3">
        <v>1.2718750000000001E-5</v>
      </c>
      <c r="I227" s="101">
        <v>5.5000000000000009</v>
      </c>
      <c r="J227" s="4" t="s">
        <v>10</v>
      </c>
      <c r="K227" s="1" t="s">
        <v>13</v>
      </c>
      <c r="L227" s="1" t="s">
        <v>14</v>
      </c>
    </row>
    <row r="228" spans="1:12" x14ac:dyDescent="0.2">
      <c r="A228" s="65">
        <v>23</v>
      </c>
      <c r="B228" s="66" t="s">
        <v>51</v>
      </c>
      <c r="C228" s="2" t="s">
        <v>7</v>
      </c>
      <c r="D228" s="1" t="s">
        <v>48</v>
      </c>
      <c r="E228" s="2" t="s">
        <v>7</v>
      </c>
      <c r="F228" s="1" t="s">
        <v>9</v>
      </c>
      <c r="G228" s="70">
        <v>100</v>
      </c>
      <c r="H228" s="3">
        <v>1.9906249999999901E-5</v>
      </c>
      <c r="I228" s="101">
        <v>8.6081081081080661</v>
      </c>
      <c r="J228" s="4" t="s">
        <v>10</v>
      </c>
      <c r="K228" s="1" t="s">
        <v>13</v>
      </c>
      <c r="L228" s="1" t="s">
        <v>14</v>
      </c>
    </row>
    <row r="229" spans="1:12" x14ac:dyDescent="0.2">
      <c r="A229" s="65">
        <v>23</v>
      </c>
      <c r="B229" s="66" t="s">
        <v>52</v>
      </c>
      <c r="C229" s="2" t="s">
        <v>7</v>
      </c>
      <c r="D229" s="1" t="s">
        <v>48</v>
      </c>
      <c r="E229" s="2" t="s">
        <v>7</v>
      </c>
      <c r="F229" s="1" t="s">
        <v>9</v>
      </c>
      <c r="G229" s="70">
        <v>0</v>
      </c>
      <c r="H229" s="3">
        <v>6.0000000000000002E-6</v>
      </c>
      <c r="I229" s="101">
        <v>1</v>
      </c>
      <c r="J229" s="4" t="s">
        <v>10</v>
      </c>
      <c r="K229" s="1" t="s">
        <v>11</v>
      </c>
      <c r="L229" s="1" t="s">
        <v>12</v>
      </c>
    </row>
    <row r="230" spans="1:12" x14ac:dyDescent="0.2">
      <c r="A230" s="65">
        <v>23</v>
      </c>
      <c r="B230" s="66" t="s">
        <v>52</v>
      </c>
      <c r="C230" s="2" t="s">
        <v>7</v>
      </c>
      <c r="D230" s="1" t="s">
        <v>48</v>
      </c>
      <c r="E230" s="2" t="s">
        <v>7</v>
      </c>
      <c r="F230" s="1" t="s">
        <v>9</v>
      </c>
      <c r="G230" s="70">
        <v>0.1</v>
      </c>
      <c r="H230" s="3">
        <v>5.5624999999999904E-6</v>
      </c>
      <c r="I230" s="101">
        <v>0.92708333333333171</v>
      </c>
      <c r="J230" s="4" t="s">
        <v>10</v>
      </c>
      <c r="K230" s="1" t="s">
        <v>15</v>
      </c>
      <c r="L230" s="1" t="s">
        <v>12</v>
      </c>
    </row>
    <row r="231" spans="1:12" x14ac:dyDescent="0.2">
      <c r="A231" s="65">
        <v>23</v>
      </c>
      <c r="B231" s="66" t="s">
        <v>52</v>
      </c>
      <c r="C231" s="2" t="s">
        <v>7</v>
      </c>
      <c r="D231" s="1" t="s">
        <v>48</v>
      </c>
      <c r="E231" s="2" t="s">
        <v>7</v>
      </c>
      <c r="F231" s="1" t="s">
        <v>9</v>
      </c>
      <c r="G231" s="70">
        <v>1</v>
      </c>
      <c r="H231" s="3">
        <v>8.6249999999999894E-6</v>
      </c>
      <c r="I231" s="101">
        <v>1.4374999999999982</v>
      </c>
      <c r="J231" s="4" t="s">
        <v>10</v>
      </c>
      <c r="K231" s="1" t="s">
        <v>13</v>
      </c>
      <c r="L231" s="1" t="s">
        <v>14</v>
      </c>
    </row>
    <row r="232" spans="1:12" x14ac:dyDescent="0.2">
      <c r="A232" s="65">
        <v>23</v>
      </c>
      <c r="B232" s="66" t="s">
        <v>52</v>
      </c>
      <c r="C232" s="2" t="s">
        <v>7</v>
      </c>
      <c r="D232" s="1" t="s">
        <v>48</v>
      </c>
      <c r="E232" s="2" t="s">
        <v>7</v>
      </c>
      <c r="F232" s="1" t="s">
        <v>9</v>
      </c>
      <c r="G232" s="70">
        <v>10</v>
      </c>
      <c r="H232" s="3">
        <v>9.0937500000000008E-6</v>
      </c>
      <c r="I232" s="101">
        <v>1.515625</v>
      </c>
      <c r="J232" s="4" t="s">
        <v>10</v>
      </c>
      <c r="K232" s="1" t="s">
        <v>13</v>
      </c>
      <c r="L232" s="1" t="s">
        <v>14</v>
      </c>
    </row>
    <row r="233" spans="1:12" x14ac:dyDescent="0.2">
      <c r="A233" s="65">
        <v>23</v>
      </c>
      <c r="B233" s="66" t="s">
        <v>52</v>
      </c>
      <c r="C233" s="2" t="s">
        <v>7</v>
      </c>
      <c r="D233" s="1" t="s">
        <v>48</v>
      </c>
      <c r="E233" s="2" t="s">
        <v>7</v>
      </c>
      <c r="F233" s="1" t="s">
        <v>9</v>
      </c>
      <c r="G233" s="70">
        <v>50</v>
      </c>
      <c r="H233" s="3">
        <v>1.059375E-5</v>
      </c>
      <c r="I233" s="101">
        <v>1.765625</v>
      </c>
      <c r="J233" s="4" t="s">
        <v>10</v>
      </c>
      <c r="K233" s="1" t="s">
        <v>13</v>
      </c>
      <c r="L233" s="1" t="s">
        <v>14</v>
      </c>
    </row>
    <row r="234" spans="1:12" x14ac:dyDescent="0.2">
      <c r="A234" s="65">
        <v>23</v>
      </c>
      <c r="B234" s="66" t="s">
        <v>52</v>
      </c>
      <c r="C234" s="2" t="s">
        <v>7</v>
      </c>
      <c r="D234" s="1" t="s">
        <v>48</v>
      </c>
      <c r="E234" s="2" t="s">
        <v>7</v>
      </c>
      <c r="F234" s="1" t="s">
        <v>9</v>
      </c>
      <c r="G234" s="70">
        <v>100</v>
      </c>
      <c r="H234" s="3">
        <v>7.5625E-6</v>
      </c>
      <c r="I234" s="101">
        <v>1.2604166666666667</v>
      </c>
      <c r="J234" s="4" t="s">
        <v>10</v>
      </c>
      <c r="K234" s="1" t="s">
        <v>13</v>
      </c>
      <c r="L234" s="1" t="s">
        <v>16</v>
      </c>
    </row>
    <row r="235" spans="1:12" x14ac:dyDescent="0.2">
      <c r="A235" s="65">
        <v>23</v>
      </c>
      <c r="B235" s="66" t="s">
        <v>53</v>
      </c>
      <c r="C235" s="2" t="s">
        <v>7</v>
      </c>
      <c r="D235" s="1" t="s">
        <v>48</v>
      </c>
      <c r="E235" s="2" t="s">
        <v>7</v>
      </c>
      <c r="F235" s="1" t="s">
        <v>9</v>
      </c>
      <c r="G235" s="70">
        <v>0</v>
      </c>
      <c r="H235" s="3">
        <v>3.9687499999999897E-6</v>
      </c>
      <c r="I235" s="101">
        <v>1</v>
      </c>
      <c r="J235" s="4" t="s">
        <v>10</v>
      </c>
      <c r="K235" s="1" t="s">
        <v>11</v>
      </c>
      <c r="L235" s="1" t="s">
        <v>12</v>
      </c>
    </row>
    <row r="236" spans="1:12" x14ac:dyDescent="0.2">
      <c r="A236" s="65">
        <v>23</v>
      </c>
      <c r="B236" s="66" t="s">
        <v>53</v>
      </c>
      <c r="C236" s="2" t="s">
        <v>7</v>
      </c>
      <c r="D236" s="1" t="s">
        <v>48</v>
      </c>
      <c r="E236" s="2" t="s">
        <v>7</v>
      </c>
      <c r="F236" s="1" t="s">
        <v>9</v>
      </c>
      <c r="G236" s="70">
        <v>0.1</v>
      </c>
      <c r="H236" s="3">
        <v>5.37499999999999E-6</v>
      </c>
      <c r="I236" s="101">
        <v>1.3543307086614182</v>
      </c>
      <c r="J236" s="4" t="s">
        <v>10</v>
      </c>
      <c r="K236" s="1" t="s">
        <v>13</v>
      </c>
      <c r="L236" s="1" t="s">
        <v>12</v>
      </c>
    </row>
    <row r="237" spans="1:12" x14ac:dyDescent="0.2">
      <c r="A237" s="65">
        <v>23</v>
      </c>
      <c r="B237" s="66" t="s">
        <v>53</v>
      </c>
      <c r="C237" s="2" t="s">
        <v>7</v>
      </c>
      <c r="D237" s="1" t="s">
        <v>48</v>
      </c>
      <c r="E237" s="2" t="s">
        <v>7</v>
      </c>
      <c r="F237" s="1" t="s">
        <v>9</v>
      </c>
      <c r="G237" s="70">
        <v>1</v>
      </c>
      <c r="H237" s="3">
        <v>5.2499999999999904E-6</v>
      </c>
      <c r="I237" s="101">
        <v>1.3228346456692923</v>
      </c>
      <c r="J237" s="4" t="s">
        <v>10</v>
      </c>
      <c r="K237" s="1" t="s">
        <v>13</v>
      </c>
      <c r="L237" s="1" t="s">
        <v>12</v>
      </c>
    </row>
    <row r="238" spans="1:12" x14ac:dyDescent="0.2">
      <c r="A238" s="65">
        <v>23</v>
      </c>
      <c r="B238" s="66" t="s">
        <v>53</v>
      </c>
      <c r="C238" s="2" t="s">
        <v>7</v>
      </c>
      <c r="D238" s="1" t="s">
        <v>48</v>
      </c>
      <c r="E238" s="2" t="s">
        <v>7</v>
      </c>
      <c r="F238" s="1" t="s">
        <v>9</v>
      </c>
      <c r="G238" s="70">
        <v>10</v>
      </c>
      <c r="H238" s="3">
        <v>4.0937499999999902E-6</v>
      </c>
      <c r="I238" s="101">
        <v>1.0314960629921262</v>
      </c>
      <c r="J238" s="4" t="s">
        <v>10</v>
      </c>
      <c r="K238" s="1" t="s">
        <v>11</v>
      </c>
      <c r="L238" s="1" t="s">
        <v>12</v>
      </c>
    </row>
    <row r="239" spans="1:12" x14ac:dyDescent="0.2">
      <c r="A239" s="65">
        <v>23</v>
      </c>
      <c r="B239" s="66" t="s">
        <v>53</v>
      </c>
      <c r="C239" s="2" t="s">
        <v>7</v>
      </c>
      <c r="D239" s="1" t="s">
        <v>48</v>
      </c>
      <c r="E239" s="2" t="s">
        <v>7</v>
      </c>
      <c r="F239" s="1" t="s">
        <v>9</v>
      </c>
      <c r="G239" s="70">
        <v>50</v>
      </c>
      <c r="H239" s="3">
        <v>3.8750000000000002E-6</v>
      </c>
      <c r="I239" s="101">
        <v>0.97637795275590811</v>
      </c>
      <c r="J239" s="4" t="s">
        <v>10</v>
      </c>
      <c r="K239" s="1" t="s">
        <v>11</v>
      </c>
      <c r="L239" s="1" t="s">
        <v>12</v>
      </c>
    </row>
    <row r="240" spans="1:12" x14ac:dyDescent="0.2">
      <c r="A240" s="65">
        <v>23</v>
      </c>
      <c r="B240" s="66" t="s">
        <v>53</v>
      </c>
      <c r="C240" s="2" t="s">
        <v>7</v>
      </c>
      <c r="D240" s="1" t="s">
        <v>48</v>
      </c>
      <c r="E240" s="2" t="s">
        <v>7</v>
      </c>
      <c r="F240" s="1" t="s">
        <v>9</v>
      </c>
      <c r="G240" s="70">
        <v>100</v>
      </c>
      <c r="H240" s="3">
        <v>3.4062500000000002E-6</v>
      </c>
      <c r="I240" s="101">
        <v>0.85826771653543532</v>
      </c>
      <c r="J240" s="4" t="s">
        <v>10</v>
      </c>
      <c r="K240" s="1" t="s">
        <v>15</v>
      </c>
      <c r="L240" s="1" t="s">
        <v>12</v>
      </c>
    </row>
    <row r="241" spans="1:12" x14ac:dyDescent="0.2">
      <c r="A241" s="65">
        <v>21</v>
      </c>
      <c r="B241" s="66" t="s">
        <v>54</v>
      </c>
      <c r="C241" s="2" t="s">
        <v>7</v>
      </c>
      <c r="D241" s="1" t="s">
        <v>20</v>
      </c>
      <c r="E241" s="2" t="s">
        <v>55</v>
      </c>
      <c r="F241" s="1" t="s">
        <v>56</v>
      </c>
      <c r="G241" s="70">
        <v>0</v>
      </c>
      <c r="H241" s="3" t="s">
        <v>10</v>
      </c>
      <c r="I241" s="101">
        <v>1.00092250922509</v>
      </c>
      <c r="J241" s="4" t="s">
        <v>10</v>
      </c>
      <c r="K241" s="1" t="s">
        <v>11</v>
      </c>
      <c r="L241" s="1" t="s">
        <v>12</v>
      </c>
    </row>
    <row r="242" spans="1:12" x14ac:dyDescent="0.2">
      <c r="A242" s="65">
        <v>21</v>
      </c>
      <c r="B242" s="66" t="s">
        <v>54</v>
      </c>
      <c r="C242" s="2" t="s">
        <v>7</v>
      </c>
      <c r="D242" s="1" t="s">
        <v>20</v>
      </c>
      <c r="E242" s="2" t="s">
        <v>55</v>
      </c>
      <c r="F242" s="1" t="s">
        <v>56</v>
      </c>
      <c r="G242" s="70">
        <v>0.04</v>
      </c>
      <c r="H242" s="3" t="s">
        <v>10</v>
      </c>
      <c r="I242" s="101">
        <v>4.2573800738007304</v>
      </c>
      <c r="J242" s="4" t="s">
        <v>10</v>
      </c>
      <c r="K242" s="1" t="s">
        <v>13</v>
      </c>
      <c r="L242" s="1" t="s">
        <v>14</v>
      </c>
    </row>
    <row r="243" spans="1:12" x14ac:dyDescent="0.2">
      <c r="A243" s="65">
        <v>21</v>
      </c>
      <c r="B243" s="66" t="s">
        <v>54</v>
      </c>
      <c r="C243" s="2" t="s">
        <v>7</v>
      </c>
      <c r="D243" s="1" t="s">
        <v>20</v>
      </c>
      <c r="E243" s="2" t="s">
        <v>55</v>
      </c>
      <c r="F243" s="1" t="s">
        <v>56</v>
      </c>
      <c r="G243" s="70">
        <v>0.2</v>
      </c>
      <c r="H243" s="3" t="s">
        <v>10</v>
      </c>
      <c r="I243" s="101">
        <v>0.52583025830258401</v>
      </c>
      <c r="J243" s="4" t="s">
        <v>10</v>
      </c>
      <c r="K243" s="1" t="s">
        <v>15</v>
      </c>
      <c r="L243" s="1" t="s">
        <v>36</v>
      </c>
    </row>
    <row r="244" spans="1:12" x14ac:dyDescent="0.2">
      <c r="A244" s="65">
        <v>21</v>
      </c>
      <c r="B244" s="66" t="s">
        <v>54</v>
      </c>
      <c r="C244" s="2" t="s">
        <v>7</v>
      </c>
      <c r="D244" s="1" t="s">
        <v>20</v>
      </c>
      <c r="E244" s="2" t="s">
        <v>55</v>
      </c>
      <c r="F244" s="1" t="s">
        <v>56</v>
      </c>
      <c r="G244" s="70">
        <v>1</v>
      </c>
      <c r="H244" s="3" t="s">
        <v>10</v>
      </c>
      <c r="I244" s="101">
        <v>0.56734317343173402</v>
      </c>
      <c r="J244" s="4" t="s">
        <v>10</v>
      </c>
      <c r="K244" s="1" t="s">
        <v>15</v>
      </c>
      <c r="L244" s="1" t="s">
        <v>36</v>
      </c>
    </row>
    <row r="245" spans="1:12" x14ac:dyDescent="0.2">
      <c r="A245" s="65">
        <v>21</v>
      </c>
      <c r="B245" s="66" t="s">
        <v>54</v>
      </c>
      <c r="C245" s="2" t="s">
        <v>7</v>
      </c>
      <c r="D245" s="1" t="s">
        <v>20</v>
      </c>
      <c r="E245" s="2" t="s">
        <v>55</v>
      </c>
      <c r="F245" s="1" t="s">
        <v>56</v>
      </c>
      <c r="G245" s="70">
        <v>5</v>
      </c>
      <c r="H245" s="3" t="s">
        <v>10</v>
      </c>
      <c r="I245" s="101">
        <v>0.175276752767526</v>
      </c>
      <c r="J245" s="4" t="s">
        <v>10</v>
      </c>
      <c r="K245" s="1" t="s">
        <v>15</v>
      </c>
      <c r="L245" s="1" t="s">
        <v>36</v>
      </c>
    </row>
    <row r="246" spans="1:12" x14ac:dyDescent="0.2">
      <c r="A246" s="65">
        <v>35</v>
      </c>
      <c r="B246" s="66" t="s">
        <v>57</v>
      </c>
      <c r="C246" s="2" t="s">
        <v>7</v>
      </c>
      <c r="D246" s="1" t="s">
        <v>20</v>
      </c>
      <c r="E246" s="2" t="s">
        <v>55</v>
      </c>
      <c r="F246" s="1" t="s">
        <v>56</v>
      </c>
      <c r="G246" s="70">
        <v>0</v>
      </c>
      <c r="H246" s="3" t="s">
        <v>10</v>
      </c>
      <c r="I246" s="101">
        <v>0.99476439790575699</v>
      </c>
      <c r="J246" s="4" t="s">
        <v>10</v>
      </c>
      <c r="K246" s="1" t="s">
        <v>11</v>
      </c>
      <c r="L246" s="1" t="s">
        <v>12</v>
      </c>
    </row>
    <row r="247" spans="1:12" x14ac:dyDescent="0.2">
      <c r="A247" s="65">
        <v>35</v>
      </c>
      <c r="B247" s="66" t="s">
        <v>57</v>
      </c>
      <c r="C247" s="2" t="s">
        <v>7</v>
      </c>
      <c r="D247" s="1" t="s">
        <v>20</v>
      </c>
      <c r="E247" s="2" t="s">
        <v>55</v>
      </c>
      <c r="F247" s="1" t="s">
        <v>56</v>
      </c>
      <c r="G247" s="70">
        <v>0.04</v>
      </c>
      <c r="H247" s="3" t="s">
        <v>10</v>
      </c>
      <c r="I247" s="101">
        <v>1.5602094240837601</v>
      </c>
      <c r="J247" s="4" t="s">
        <v>10</v>
      </c>
      <c r="K247" s="1" t="s">
        <v>13</v>
      </c>
      <c r="L247" s="1" t="s">
        <v>12</v>
      </c>
    </row>
    <row r="248" spans="1:12" x14ac:dyDescent="0.2">
      <c r="A248" s="65">
        <v>35</v>
      </c>
      <c r="B248" s="66" t="s">
        <v>57</v>
      </c>
      <c r="C248" s="2" t="s">
        <v>7</v>
      </c>
      <c r="D248" s="1" t="s">
        <v>20</v>
      </c>
      <c r="E248" s="2" t="s">
        <v>55</v>
      </c>
      <c r="F248" s="1" t="s">
        <v>56</v>
      </c>
      <c r="G248" s="70">
        <v>0.2</v>
      </c>
      <c r="H248" s="3" t="s">
        <v>10</v>
      </c>
      <c r="I248" s="101">
        <v>9.5078534031413593</v>
      </c>
      <c r="J248" s="4" t="s">
        <v>10</v>
      </c>
      <c r="K248" s="1" t="s">
        <v>13</v>
      </c>
      <c r="L248" s="1" t="s">
        <v>16</v>
      </c>
    </row>
    <row r="249" spans="1:12" x14ac:dyDescent="0.2">
      <c r="A249" s="65">
        <v>35</v>
      </c>
      <c r="B249" s="66" t="s">
        <v>57</v>
      </c>
      <c r="C249" s="2" t="s">
        <v>7</v>
      </c>
      <c r="D249" s="1" t="s">
        <v>20</v>
      </c>
      <c r="E249" s="2" t="s">
        <v>55</v>
      </c>
      <c r="F249" s="1" t="s">
        <v>56</v>
      </c>
      <c r="G249" s="70">
        <v>1</v>
      </c>
      <c r="H249" s="3" t="s">
        <v>10</v>
      </c>
      <c r="I249" s="101">
        <v>8.4293193717277397</v>
      </c>
      <c r="J249" s="4" t="s">
        <v>10</v>
      </c>
      <c r="K249" s="1" t="s">
        <v>13</v>
      </c>
      <c r="L249" s="1" t="s">
        <v>14</v>
      </c>
    </row>
    <row r="250" spans="1:12" x14ac:dyDescent="0.2">
      <c r="A250" s="65">
        <v>35</v>
      </c>
      <c r="B250" s="66" t="s">
        <v>57</v>
      </c>
      <c r="C250" s="2" t="s">
        <v>7</v>
      </c>
      <c r="D250" s="1" t="s">
        <v>20</v>
      </c>
      <c r="E250" s="2" t="s">
        <v>55</v>
      </c>
      <c r="F250" s="1" t="s">
        <v>56</v>
      </c>
      <c r="G250" s="70">
        <v>5</v>
      </c>
      <c r="H250" s="3" t="s">
        <v>10</v>
      </c>
      <c r="I250" s="101">
        <v>0.71204188481675301</v>
      </c>
      <c r="J250" s="4" t="s">
        <v>10</v>
      </c>
      <c r="K250" s="1" t="s">
        <v>15</v>
      </c>
      <c r="L250" s="1" t="s">
        <v>12</v>
      </c>
    </row>
    <row r="251" spans="1:12" x14ac:dyDescent="0.2">
      <c r="A251" s="65">
        <v>37</v>
      </c>
      <c r="B251" s="66" t="s">
        <v>251</v>
      </c>
      <c r="C251" s="2" t="s">
        <v>58</v>
      </c>
      <c r="D251" s="1" t="s">
        <v>8</v>
      </c>
      <c r="E251" s="2" t="s">
        <v>59</v>
      </c>
      <c r="G251" s="70">
        <v>0</v>
      </c>
      <c r="H251" s="3">
        <v>5.1894563426688702E-5</v>
      </c>
      <c r="I251" s="101">
        <v>1</v>
      </c>
      <c r="J251" s="4" t="s">
        <v>10</v>
      </c>
      <c r="K251" s="1" t="s">
        <v>11</v>
      </c>
      <c r="L251" s="1" t="s">
        <v>12</v>
      </c>
    </row>
    <row r="252" spans="1:12" x14ac:dyDescent="0.2">
      <c r="A252" s="65">
        <v>37</v>
      </c>
      <c r="B252" s="66" t="s">
        <v>251</v>
      </c>
      <c r="C252" s="2" t="s">
        <v>58</v>
      </c>
      <c r="D252" s="1" t="s">
        <v>8</v>
      </c>
      <c r="E252" s="2" t="s">
        <v>59</v>
      </c>
      <c r="G252" s="70">
        <v>10</v>
      </c>
      <c r="H252" s="3">
        <v>2.0057660626029601E-4</v>
      </c>
      <c r="I252" s="101">
        <v>3.8650793650793496</v>
      </c>
      <c r="J252" s="4" t="s">
        <v>10</v>
      </c>
      <c r="K252" s="1" t="s">
        <v>13</v>
      </c>
      <c r="L252" s="1" t="s">
        <v>14</v>
      </c>
    </row>
    <row r="253" spans="1:12" x14ac:dyDescent="0.2">
      <c r="A253" s="65">
        <v>37</v>
      </c>
      <c r="B253" s="66" t="s">
        <v>251</v>
      </c>
      <c r="C253" s="2" t="s">
        <v>58</v>
      </c>
      <c r="D253" s="1" t="s">
        <v>8</v>
      </c>
      <c r="E253" s="2" t="s">
        <v>59</v>
      </c>
      <c r="G253" s="70">
        <v>20</v>
      </c>
      <c r="H253" s="3">
        <v>2.07990115321252E-4</v>
      </c>
      <c r="I253" s="101">
        <v>4.0079365079365017</v>
      </c>
      <c r="J253" s="4" t="s">
        <v>10</v>
      </c>
      <c r="K253" s="1" t="s">
        <v>13</v>
      </c>
      <c r="L253" s="1" t="s">
        <v>16</v>
      </c>
    </row>
    <row r="254" spans="1:12" x14ac:dyDescent="0.2">
      <c r="A254" s="65">
        <v>37</v>
      </c>
      <c r="B254" s="66" t="s">
        <v>251</v>
      </c>
      <c r="C254" s="2" t="s">
        <v>58</v>
      </c>
      <c r="D254" s="1" t="s">
        <v>8</v>
      </c>
      <c r="E254" s="2" t="s">
        <v>59</v>
      </c>
      <c r="G254" s="70">
        <v>50</v>
      </c>
      <c r="H254" s="3">
        <v>2.5041186161449701E-4</v>
      </c>
      <c r="I254" s="101">
        <v>4.8253968253968091</v>
      </c>
      <c r="J254" s="4" t="s">
        <v>10</v>
      </c>
      <c r="K254" s="1" t="s">
        <v>13</v>
      </c>
      <c r="L254" s="1" t="s">
        <v>14</v>
      </c>
    </row>
    <row r="255" spans="1:12" x14ac:dyDescent="0.2">
      <c r="A255" s="65">
        <v>37</v>
      </c>
      <c r="B255" s="66" t="s">
        <v>251</v>
      </c>
      <c r="C255" s="2" t="s">
        <v>58</v>
      </c>
      <c r="D255" s="1" t="s">
        <v>8</v>
      </c>
      <c r="E255" s="2" t="s">
        <v>59</v>
      </c>
      <c r="G255" s="70">
        <v>100</v>
      </c>
      <c r="H255" s="3">
        <v>1.19439868204283E-4</v>
      </c>
      <c r="I255" s="101">
        <v>2.3015873015872916</v>
      </c>
      <c r="J255" s="4" t="s">
        <v>10</v>
      </c>
      <c r="K255" s="1" t="s">
        <v>13</v>
      </c>
      <c r="L255" s="1" t="s">
        <v>16</v>
      </c>
    </row>
    <row r="256" spans="1:12" x14ac:dyDescent="0.2">
      <c r="A256" s="65">
        <v>37</v>
      </c>
      <c r="B256" s="66" t="s">
        <v>250</v>
      </c>
      <c r="C256" s="2" t="s">
        <v>58</v>
      </c>
      <c r="D256" s="1" t="s">
        <v>8</v>
      </c>
      <c r="E256" s="2" t="s">
        <v>59</v>
      </c>
      <c r="G256" s="70">
        <v>0</v>
      </c>
      <c r="H256" s="3">
        <v>5.2306425041186197E-5</v>
      </c>
      <c r="I256" s="101">
        <v>1.0079365079365072</v>
      </c>
      <c r="J256" s="4" t="s">
        <v>10</v>
      </c>
      <c r="K256" s="1" t="s">
        <v>11</v>
      </c>
      <c r="L256" s="1" t="s">
        <v>12</v>
      </c>
    </row>
    <row r="257" spans="1:12" x14ac:dyDescent="0.2">
      <c r="A257" s="65">
        <v>37</v>
      </c>
      <c r="B257" s="66" t="s">
        <v>250</v>
      </c>
      <c r="C257" s="2" t="s">
        <v>58</v>
      </c>
      <c r="D257" s="1" t="s">
        <v>8</v>
      </c>
      <c r="E257" s="2" t="s">
        <v>59</v>
      </c>
      <c r="G257" s="70">
        <v>10</v>
      </c>
      <c r="H257" s="3">
        <v>1.7092257001647399E-4</v>
      </c>
      <c r="I257" s="101">
        <v>3.2936507936507802</v>
      </c>
      <c r="J257" s="4" t="s">
        <v>10</v>
      </c>
      <c r="K257" s="1" t="s">
        <v>13</v>
      </c>
      <c r="L257" s="1" t="s">
        <v>14</v>
      </c>
    </row>
    <row r="258" spans="1:12" x14ac:dyDescent="0.2">
      <c r="A258" s="65">
        <v>37</v>
      </c>
      <c r="B258" s="66" t="s">
        <v>250</v>
      </c>
      <c r="C258" s="2" t="s">
        <v>58</v>
      </c>
      <c r="D258" s="1" t="s">
        <v>8</v>
      </c>
      <c r="E258" s="2" t="s">
        <v>59</v>
      </c>
      <c r="G258" s="70">
        <v>20</v>
      </c>
      <c r="H258" s="3">
        <v>1.67627677100494E-4</v>
      </c>
      <c r="I258" s="101">
        <v>3.2301587301587213</v>
      </c>
      <c r="J258" s="4" t="s">
        <v>10</v>
      </c>
      <c r="K258" s="1" t="s">
        <v>13</v>
      </c>
      <c r="L258" s="1" t="s">
        <v>14</v>
      </c>
    </row>
    <row r="259" spans="1:12" x14ac:dyDescent="0.2">
      <c r="A259" s="65">
        <v>37</v>
      </c>
      <c r="B259" s="66" t="s">
        <v>250</v>
      </c>
      <c r="C259" s="2" t="s">
        <v>58</v>
      </c>
      <c r="D259" s="1" t="s">
        <v>8</v>
      </c>
      <c r="E259" s="2" t="s">
        <v>59</v>
      </c>
      <c r="G259" s="70">
        <v>50</v>
      </c>
      <c r="H259" s="3">
        <v>2.0263591433278399E-4</v>
      </c>
      <c r="I259" s="101">
        <v>3.9047619047618958</v>
      </c>
      <c r="J259" s="4" t="s">
        <v>10</v>
      </c>
      <c r="K259" s="1" t="s">
        <v>13</v>
      </c>
      <c r="L259" s="1" t="s">
        <v>14</v>
      </c>
    </row>
    <row r="260" spans="1:12" x14ac:dyDescent="0.2">
      <c r="A260" s="65">
        <v>37</v>
      </c>
      <c r="B260" s="66" t="s">
        <v>250</v>
      </c>
      <c r="C260" s="2" t="s">
        <v>58</v>
      </c>
      <c r="D260" s="1" t="s">
        <v>8</v>
      </c>
      <c r="E260" s="2" t="s">
        <v>59</v>
      </c>
      <c r="G260" s="70">
        <v>100</v>
      </c>
      <c r="H260" s="3">
        <v>1.26853377265238E-4</v>
      </c>
      <c r="I260" s="101">
        <v>2.4444444444444242</v>
      </c>
      <c r="J260" s="4" t="s">
        <v>10</v>
      </c>
      <c r="K260" s="1" t="s">
        <v>13</v>
      </c>
      <c r="L260" s="1" t="s">
        <v>14</v>
      </c>
    </row>
    <row r="261" spans="1:12" x14ac:dyDescent="0.2">
      <c r="A261" s="65">
        <v>37</v>
      </c>
      <c r="B261" s="66" t="s">
        <v>252</v>
      </c>
      <c r="C261" s="2" t="s">
        <v>58</v>
      </c>
      <c r="D261" s="1" t="s">
        <v>8</v>
      </c>
      <c r="E261" s="2" t="s">
        <v>59</v>
      </c>
      <c r="G261" s="70">
        <v>0</v>
      </c>
      <c r="H261" s="3">
        <v>5.2306425041186197E-5</v>
      </c>
      <c r="I261" s="101">
        <v>1.0079365079365072</v>
      </c>
      <c r="J261" s="4" t="s">
        <v>10</v>
      </c>
      <c r="K261" s="1" t="s">
        <v>11</v>
      </c>
      <c r="L261" s="1" t="s">
        <v>12</v>
      </c>
    </row>
    <row r="262" spans="1:12" x14ac:dyDescent="0.2">
      <c r="A262" s="65">
        <v>37</v>
      </c>
      <c r="B262" s="66" t="s">
        <v>252</v>
      </c>
      <c r="C262" s="2" t="s">
        <v>58</v>
      </c>
      <c r="D262" s="1" t="s">
        <v>8</v>
      </c>
      <c r="E262" s="2" t="s">
        <v>59</v>
      </c>
      <c r="G262" s="70">
        <v>10</v>
      </c>
      <c r="H262" s="3">
        <v>3.8138385502471098E-4</v>
      </c>
      <c r="I262" s="101">
        <v>7.3492063492063258</v>
      </c>
      <c r="J262" s="4" t="s">
        <v>10</v>
      </c>
      <c r="K262" s="1" t="s">
        <v>13</v>
      </c>
      <c r="L262" s="1" t="s">
        <v>16</v>
      </c>
    </row>
    <row r="263" spans="1:12" x14ac:dyDescent="0.2">
      <c r="A263" s="65">
        <v>37</v>
      </c>
      <c r="B263" s="66" t="s">
        <v>252</v>
      </c>
      <c r="C263" s="2" t="s">
        <v>58</v>
      </c>
      <c r="D263" s="1" t="s">
        <v>8</v>
      </c>
      <c r="E263" s="2" t="s">
        <v>59</v>
      </c>
      <c r="G263" s="70">
        <v>20</v>
      </c>
      <c r="H263" s="3">
        <v>4.5222405271828599E-4</v>
      </c>
      <c r="I263" s="101">
        <v>8.7142857142856904</v>
      </c>
      <c r="J263" s="4" t="s">
        <v>10</v>
      </c>
      <c r="K263" s="1" t="s">
        <v>13</v>
      </c>
      <c r="L263" s="1" t="s">
        <v>14</v>
      </c>
    </row>
    <row r="264" spans="1:12" x14ac:dyDescent="0.2">
      <c r="A264" s="65">
        <v>37</v>
      </c>
      <c r="B264" s="66" t="s">
        <v>252</v>
      </c>
      <c r="C264" s="2" t="s">
        <v>58</v>
      </c>
      <c r="D264" s="1" t="s">
        <v>8</v>
      </c>
      <c r="E264" s="2" t="s">
        <v>59</v>
      </c>
      <c r="G264" s="70">
        <v>50</v>
      </c>
      <c r="H264" s="3">
        <v>3.7891268533772599E-4</v>
      </c>
      <c r="I264" s="101">
        <v>7.3015873015872819</v>
      </c>
      <c r="J264" s="4" t="s">
        <v>10</v>
      </c>
      <c r="K264" s="1" t="s">
        <v>13</v>
      </c>
      <c r="L264" s="1" t="s">
        <v>28</v>
      </c>
    </row>
    <row r="265" spans="1:12" x14ac:dyDescent="0.2">
      <c r="A265" s="65">
        <v>37</v>
      </c>
      <c r="B265" s="66" t="s">
        <v>252</v>
      </c>
      <c r="C265" s="2" t="s">
        <v>58</v>
      </c>
      <c r="D265" s="1" t="s">
        <v>8</v>
      </c>
      <c r="E265" s="2" t="s">
        <v>59</v>
      </c>
      <c r="G265" s="70">
        <v>100</v>
      </c>
      <c r="H265" s="3">
        <v>3.9332784184514E-4</v>
      </c>
      <c r="I265" s="101">
        <v>7.5793650793650684</v>
      </c>
      <c r="J265" s="4" t="s">
        <v>10</v>
      </c>
      <c r="K265" s="1" t="s">
        <v>13</v>
      </c>
      <c r="L265" s="1" t="s">
        <v>16</v>
      </c>
    </row>
    <row r="266" spans="1:12" x14ac:dyDescent="0.2">
      <c r="A266" s="65">
        <v>38</v>
      </c>
      <c r="B266" s="66" t="s">
        <v>54</v>
      </c>
      <c r="C266" s="2" t="s">
        <v>7</v>
      </c>
      <c r="D266" s="1" t="s">
        <v>20</v>
      </c>
      <c r="E266" s="2" t="s">
        <v>7</v>
      </c>
      <c r="F266" s="1" t="s">
        <v>35</v>
      </c>
      <c r="G266" s="70">
        <v>0</v>
      </c>
      <c r="H266" s="3" t="s">
        <v>10</v>
      </c>
      <c r="I266" s="101">
        <v>0.99843014128728302</v>
      </c>
      <c r="J266" s="4" t="s">
        <v>10</v>
      </c>
      <c r="K266" s="1" t="s">
        <v>11</v>
      </c>
      <c r="L266" s="1" t="s">
        <v>12</v>
      </c>
    </row>
    <row r="267" spans="1:12" x14ac:dyDescent="0.2">
      <c r="A267" s="65">
        <v>38</v>
      </c>
      <c r="B267" s="66" t="s">
        <v>54</v>
      </c>
      <c r="C267" s="2" t="s">
        <v>7</v>
      </c>
      <c r="D267" s="1" t="s">
        <v>20</v>
      </c>
      <c r="E267" s="2" t="s">
        <v>7</v>
      </c>
      <c r="F267" s="1" t="s">
        <v>35</v>
      </c>
      <c r="G267" s="70">
        <v>0.01</v>
      </c>
      <c r="H267" s="3" t="s">
        <v>10</v>
      </c>
      <c r="I267" s="101">
        <v>1.0235478806907301</v>
      </c>
      <c r="J267" s="4" t="s">
        <v>10</v>
      </c>
      <c r="K267" s="1" t="s">
        <v>11</v>
      </c>
      <c r="L267" s="1" t="s">
        <v>12</v>
      </c>
    </row>
    <row r="268" spans="1:12" x14ac:dyDescent="0.2">
      <c r="A268" s="65">
        <v>38</v>
      </c>
      <c r="B268" s="66" t="s">
        <v>54</v>
      </c>
      <c r="C268" s="2" t="s">
        <v>7</v>
      </c>
      <c r="D268" s="1" t="s">
        <v>20</v>
      </c>
      <c r="E268" s="2" t="s">
        <v>7</v>
      </c>
      <c r="F268" s="1" t="s">
        <v>35</v>
      </c>
      <c r="G268" s="70">
        <v>0.1</v>
      </c>
      <c r="H268" s="3" t="s">
        <v>10</v>
      </c>
      <c r="I268" s="101">
        <v>1.57613814756671</v>
      </c>
      <c r="J268" s="4" t="s">
        <v>10</v>
      </c>
      <c r="K268" s="1" t="s">
        <v>13</v>
      </c>
      <c r="L268" s="1" t="s">
        <v>14</v>
      </c>
    </row>
    <row r="269" spans="1:12" x14ac:dyDescent="0.2">
      <c r="A269" s="65">
        <v>38</v>
      </c>
      <c r="B269" s="66" t="s">
        <v>54</v>
      </c>
      <c r="C269" s="2" t="s">
        <v>7</v>
      </c>
      <c r="D269" s="1" t="s">
        <v>20</v>
      </c>
      <c r="E269" s="2" t="s">
        <v>7</v>
      </c>
      <c r="F269" s="1" t="s">
        <v>35</v>
      </c>
      <c r="G269" s="70">
        <v>1</v>
      </c>
      <c r="H269" s="3" t="s">
        <v>10</v>
      </c>
      <c r="I269" s="101">
        <v>1.51334379905808</v>
      </c>
      <c r="J269" s="4" t="s">
        <v>10</v>
      </c>
      <c r="K269" s="1" t="s">
        <v>13</v>
      </c>
      <c r="L269" s="1" t="s">
        <v>14</v>
      </c>
    </row>
    <row r="270" spans="1:12" x14ac:dyDescent="0.2">
      <c r="A270" s="65">
        <v>38</v>
      </c>
      <c r="B270" s="66" t="s">
        <v>54</v>
      </c>
      <c r="C270" s="2" t="s">
        <v>7</v>
      </c>
      <c r="D270" s="1" t="s">
        <v>20</v>
      </c>
      <c r="E270" s="2" t="s">
        <v>7</v>
      </c>
      <c r="F270" s="1" t="s">
        <v>35</v>
      </c>
      <c r="G270" s="70">
        <v>10</v>
      </c>
      <c r="H270" s="3" t="s">
        <v>10</v>
      </c>
      <c r="I270" s="101">
        <v>1.72684458398744</v>
      </c>
      <c r="J270" s="4" t="s">
        <v>10</v>
      </c>
      <c r="K270" s="1" t="s">
        <v>13</v>
      </c>
      <c r="L270" s="1" t="s">
        <v>14</v>
      </c>
    </row>
    <row r="271" spans="1:12" x14ac:dyDescent="0.2">
      <c r="A271" s="65">
        <v>38</v>
      </c>
      <c r="B271" s="66" t="s">
        <v>54</v>
      </c>
      <c r="C271" s="2" t="s">
        <v>7</v>
      </c>
      <c r="D271" s="1" t="s">
        <v>20</v>
      </c>
      <c r="E271" s="2" t="s">
        <v>7</v>
      </c>
      <c r="F271" s="1" t="s">
        <v>35</v>
      </c>
      <c r="G271" s="70">
        <v>50</v>
      </c>
      <c r="H271" s="3" t="s">
        <v>10</v>
      </c>
      <c r="I271" s="101">
        <v>2.3547880690737801</v>
      </c>
      <c r="J271" s="4" t="s">
        <v>10</v>
      </c>
      <c r="K271" s="1" t="s">
        <v>13</v>
      </c>
      <c r="L271" s="1" t="s">
        <v>60</v>
      </c>
    </row>
    <row r="272" spans="1:12" x14ac:dyDescent="0.2">
      <c r="A272" s="65">
        <v>38</v>
      </c>
      <c r="B272" s="66" t="s">
        <v>54</v>
      </c>
      <c r="C272" s="2" t="s">
        <v>7</v>
      </c>
      <c r="D272" s="1" t="s">
        <v>20</v>
      </c>
      <c r="E272" s="2" t="s">
        <v>7</v>
      </c>
      <c r="F272" s="1" t="s">
        <v>35</v>
      </c>
      <c r="G272" s="70">
        <v>100</v>
      </c>
      <c r="H272" s="3" t="s">
        <v>10</v>
      </c>
      <c r="I272" s="101">
        <v>1.90894819466248</v>
      </c>
      <c r="J272" s="4" t="s">
        <v>10</v>
      </c>
      <c r="K272" s="1" t="s">
        <v>13</v>
      </c>
      <c r="L272" s="1" t="s">
        <v>14</v>
      </c>
    </row>
    <row r="273" spans="1:12" x14ac:dyDescent="0.2">
      <c r="A273" s="65">
        <v>38</v>
      </c>
      <c r="B273" s="66" t="s">
        <v>54</v>
      </c>
      <c r="C273" s="2" t="s">
        <v>7</v>
      </c>
      <c r="D273" s="1" t="s">
        <v>20</v>
      </c>
      <c r="E273" s="2" t="s">
        <v>7</v>
      </c>
      <c r="F273" s="1" t="s">
        <v>35</v>
      </c>
      <c r="G273" s="70">
        <v>250</v>
      </c>
      <c r="H273" s="3" t="s">
        <v>10</v>
      </c>
      <c r="I273" s="101">
        <v>1.48194662480376</v>
      </c>
      <c r="J273" s="4" t="s">
        <v>10</v>
      </c>
      <c r="K273" s="1" t="s">
        <v>13</v>
      </c>
      <c r="L273" s="1" t="s">
        <v>12</v>
      </c>
    </row>
    <row r="274" spans="1:12" x14ac:dyDescent="0.2">
      <c r="A274" s="65">
        <v>38</v>
      </c>
      <c r="B274" s="66" t="s">
        <v>54</v>
      </c>
      <c r="C274" s="2" t="s">
        <v>7</v>
      </c>
      <c r="D274" s="1" t="s">
        <v>20</v>
      </c>
      <c r="E274" s="2" t="s">
        <v>7</v>
      </c>
      <c r="F274" s="1" t="s">
        <v>35</v>
      </c>
      <c r="G274" s="70">
        <v>500</v>
      </c>
      <c r="H274" s="3" t="s">
        <v>10</v>
      </c>
      <c r="I274" s="101">
        <v>1.3563579277864899</v>
      </c>
      <c r="J274" s="4" t="s">
        <v>10</v>
      </c>
      <c r="K274" s="1" t="s">
        <v>13</v>
      </c>
      <c r="L274" s="1" t="s">
        <v>12</v>
      </c>
    </row>
    <row r="275" spans="1:12" x14ac:dyDescent="0.2">
      <c r="A275" s="65">
        <v>39</v>
      </c>
      <c r="B275" s="66" t="s">
        <v>61</v>
      </c>
      <c r="C275" s="2" t="s">
        <v>7</v>
      </c>
      <c r="D275" s="1" t="s">
        <v>48</v>
      </c>
      <c r="E275" s="2" t="s">
        <v>7</v>
      </c>
      <c r="F275" s="1" t="s">
        <v>9</v>
      </c>
      <c r="G275" s="70">
        <v>0</v>
      </c>
      <c r="H275" s="3">
        <v>1.84782608695652E-4</v>
      </c>
      <c r="I275" s="101">
        <v>0.97907949790795001</v>
      </c>
      <c r="J275" s="4" t="s">
        <v>10</v>
      </c>
      <c r="K275" s="1" t="s">
        <v>11</v>
      </c>
      <c r="L275" s="1" t="s">
        <v>12</v>
      </c>
    </row>
    <row r="276" spans="1:12" x14ac:dyDescent="0.2">
      <c r="A276" s="65">
        <v>39</v>
      </c>
      <c r="B276" s="66" t="s">
        <v>61</v>
      </c>
      <c r="C276" s="2" t="s">
        <v>7</v>
      </c>
      <c r="D276" s="1" t="s">
        <v>48</v>
      </c>
      <c r="E276" s="2" t="s">
        <v>7</v>
      </c>
      <c r="F276" s="1" t="s">
        <v>9</v>
      </c>
      <c r="G276" s="70">
        <v>3.0000000000000001E-3</v>
      </c>
      <c r="H276" s="3">
        <v>1.9378881987577599E-4</v>
      </c>
      <c r="I276" s="101">
        <v>1.1297071129707099</v>
      </c>
      <c r="J276" s="4" t="s">
        <v>10</v>
      </c>
      <c r="K276" s="1" t="s">
        <v>13</v>
      </c>
      <c r="L276" s="1" t="s">
        <v>12</v>
      </c>
    </row>
    <row r="277" spans="1:12" x14ac:dyDescent="0.2">
      <c r="A277" s="65">
        <v>39</v>
      </c>
      <c r="B277" s="66" t="s">
        <v>61</v>
      </c>
      <c r="C277" s="2" t="s">
        <v>7</v>
      </c>
      <c r="D277" s="1" t="s">
        <v>48</v>
      </c>
      <c r="E277" s="2" t="s">
        <v>7</v>
      </c>
      <c r="F277" s="1" t="s">
        <v>9</v>
      </c>
      <c r="G277" s="70">
        <v>0.03</v>
      </c>
      <c r="H277" s="3">
        <v>1.9875776397515501E-4</v>
      </c>
      <c r="I277" s="101">
        <v>0.92887029288702805</v>
      </c>
      <c r="J277" s="4" t="s">
        <v>10</v>
      </c>
      <c r="K277" s="1" t="s">
        <v>15</v>
      </c>
      <c r="L277" s="1" t="s">
        <v>12</v>
      </c>
    </row>
    <row r="278" spans="1:12" x14ac:dyDescent="0.2">
      <c r="A278" s="65">
        <v>39</v>
      </c>
      <c r="B278" s="66" t="s">
        <v>61</v>
      </c>
      <c r="C278" s="2" t="s">
        <v>7</v>
      </c>
      <c r="D278" s="1" t="s">
        <v>48</v>
      </c>
      <c r="E278" s="2" t="s">
        <v>7</v>
      </c>
      <c r="F278" s="1" t="s">
        <v>9</v>
      </c>
      <c r="G278" s="70">
        <v>0.3</v>
      </c>
      <c r="H278" s="3">
        <v>1.9378881987577599E-4</v>
      </c>
      <c r="I278" s="101">
        <v>0.96234309623430803</v>
      </c>
      <c r="J278" s="4" t="s">
        <v>10</v>
      </c>
      <c r="K278" s="1" t="s">
        <v>11</v>
      </c>
      <c r="L278" s="1" t="s">
        <v>12</v>
      </c>
    </row>
    <row r="279" spans="1:12" x14ac:dyDescent="0.2">
      <c r="A279" s="65">
        <v>39</v>
      </c>
      <c r="B279" s="66" t="s">
        <v>61</v>
      </c>
      <c r="C279" s="2" t="s">
        <v>7</v>
      </c>
      <c r="D279" s="1" t="s">
        <v>48</v>
      </c>
      <c r="E279" s="2" t="s">
        <v>7</v>
      </c>
      <c r="F279" s="1" t="s">
        <v>9</v>
      </c>
      <c r="G279" s="70">
        <v>3</v>
      </c>
      <c r="H279" s="3">
        <v>2.1055900621118001E-4</v>
      </c>
      <c r="I279" s="101">
        <v>1.02928870292886</v>
      </c>
      <c r="J279" s="4" t="s">
        <v>10</v>
      </c>
      <c r="K279" s="1" t="s">
        <v>11</v>
      </c>
      <c r="L279" s="1" t="s">
        <v>12</v>
      </c>
    </row>
    <row r="280" spans="1:12" x14ac:dyDescent="0.2">
      <c r="A280" s="65">
        <v>39</v>
      </c>
      <c r="B280" s="66" t="s">
        <v>61</v>
      </c>
      <c r="C280" s="2" t="s">
        <v>7</v>
      </c>
      <c r="D280" s="1" t="s">
        <v>48</v>
      </c>
      <c r="E280" s="2" t="s">
        <v>7</v>
      </c>
      <c r="F280" s="1" t="s">
        <v>9</v>
      </c>
      <c r="G280" s="70">
        <v>30</v>
      </c>
      <c r="H280" s="3">
        <v>2.2018633540372599E-4</v>
      </c>
      <c r="I280" s="101">
        <v>1.02928870292886</v>
      </c>
      <c r="J280" s="4" t="s">
        <v>10</v>
      </c>
      <c r="K280" s="1" t="s">
        <v>11</v>
      </c>
      <c r="L280" s="1" t="s">
        <v>12</v>
      </c>
    </row>
    <row r="281" spans="1:12" x14ac:dyDescent="0.2">
      <c r="A281" s="65">
        <v>39</v>
      </c>
      <c r="B281" s="66" t="s">
        <v>61</v>
      </c>
      <c r="C281" s="2" t="s">
        <v>7</v>
      </c>
      <c r="D281" s="1" t="s">
        <v>48</v>
      </c>
      <c r="E281" s="2" t="s">
        <v>7</v>
      </c>
      <c r="F281" s="1" t="s">
        <v>9</v>
      </c>
      <c r="G281" s="70">
        <v>300</v>
      </c>
      <c r="H281" s="3">
        <v>2.1055900621118001E-4</v>
      </c>
      <c r="I281" s="101">
        <v>1.1966527196652701</v>
      </c>
      <c r="J281" s="4" t="s">
        <v>10</v>
      </c>
      <c r="K281" s="1" t="s">
        <v>13</v>
      </c>
      <c r="L281" s="1" t="s">
        <v>12</v>
      </c>
    </row>
    <row r="282" spans="1:12" x14ac:dyDescent="0.2">
      <c r="A282" s="65">
        <v>39</v>
      </c>
      <c r="B282" s="66" t="s">
        <v>62</v>
      </c>
      <c r="C282" s="2" t="s">
        <v>7</v>
      </c>
      <c r="D282" s="1" t="s">
        <v>48</v>
      </c>
      <c r="E282" s="2" t="s">
        <v>7</v>
      </c>
      <c r="F282" s="1" t="s">
        <v>9</v>
      </c>
      <c r="G282" s="70">
        <v>0</v>
      </c>
      <c r="H282" s="3">
        <v>1.8510638297872299E-4</v>
      </c>
      <c r="I282" s="101">
        <v>0.94560669456066904</v>
      </c>
      <c r="J282" s="4" t="s">
        <v>10</v>
      </c>
      <c r="K282" s="1" t="s">
        <v>11</v>
      </c>
      <c r="L282" s="1" t="s">
        <v>12</v>
      </c>
    </row>
    <row r="283" spans="1:12" x14ac:dyDescent="0.2">
      <c r="A283" s="65">
        <v>39</v>
      </c>
      <c r="B283" s="66" t="s">
        <v>62</v>
      </c>
      <c r="C283" s="2" t="s">
        <v>7</v>
      </c>
      <c r="D283" s="1" t="s">
        <v>48</v>
      </c>
      <c r="E283" s="2" t="s">
        <v>7</v>
      </c>
      <c r="F283" s="1" t="s">
        <v>9</v>
      </c>
      <c r="G283" s="70">
        <v>3.0000000000000001E-3</v>
      </c>
      <c r="H283" s="3">
        <v>1.76329787234042E-4</v>
      </c>
      <c r="I283" s="101">
        <v>0.93723849372384804</v>
      </c>
      <c r="J283" s="4" t="s">
        <v>10</v>
      </c>
      <c r="K283" s="1" t="s">
        <v>15</v>
      </c>
      <c r="L283" s="1" t="s">
        <v>12</v>
      </c>
    </row>
    <row r="284" spans="1:12" x14ac:dyDescent="0.2">
      <c r="A284" s="65">
        <v>39</v>
      </c>
      <c r="B284" s="66" t="s">
        <v>62</v>
      </c>
      <c r="C284" s="2" t="s">
        <v>7</v>
      </c>
      <c r="D284" s="1" t="s">
        <v>48</v>
      </c>
      <c r="E284" s="2" t="s">
        <v>7</v>
      </c>
      <c r="F284" s="1" t="s">
        <v>9</v>
      </c>
      <c r="G284" s="70">
        <v>0.03</v>
      </c>
      <c r="H284" s="3">
        <v>1.97606382978723E-4</v>
      </c>
      <c r="I284" s="101">
        <v>1.03765690376568</v>
      </c>
      <c r="J284" s="4" t="s">
        <v>10</v>
      </c>
      <c r="K284" s="1" t="s">
        <v>11</v>
      </c>
      <c r="L284" s="1" t="s">
        <v>12</v>
      </c>
    </row>
    <row r="285" spans="1:12" x14ac:dyDescent="0.2">
      <c r="A285" s="65">
        <v>39</v>
      </c>
      <c r="B285" s="66" t="s">
        <v>62</v>
      </c>
      <c r="C285" s="2" t="s">
        <v>7</v>
      </c>
      <c r="D285" s="1" t="s">
        <v>48</v>
      </c>
      <c r="E285" s="2" t="s">
        <v>7</v>
      </c>
      <c r="F285" s="1" t="s">
        <v>9</v>
      </c>
      <c r="G285" s="70">
        <v>0.3</v>
      </c>
      <c r="H285" s="3">
        <v>2.3696808510638201E-4</v>
      </c>
      <c r="I285" s="101">
        <v>1.28870292887029</v>
      </c>
      <c r="J285" s="4" t="s">
        <v>10</v>
      </c>
      <c r="K285" s="1" t="s">
        <v>13</v>
      </c>
      <c r="L285" s="1" t="s">
        <v>16</v>
      </c>
    </row>
    <row r="286" spans="1:12" x14ac:dyDescent="0.2">
      <c r="A286" s="65">
        <v>39</v>
      </c>
      <c r="B286" s="66" t="s">
        <v>62</v>
      </c>
      <c r="C286" s="2" t="s">
        <v>7</v>
      </c>
      <c r="D286" s="1" t="s">
        <v>48</v>
      </c>
      <c r="E286" s="2" t="s">
        <v>7</v>
      </c>
      <c r="F286" s="1" t="s">
        <v>9</v>
      </c>
      <c r="G286" s="70">
        <v>3</v>
      </c>
      <c r="H286" s="3">
        <v>2.51861702127659E-4</v>
      </c>
      <c r="I286" s="101">
        <v>1.36401673640167</v>
      </c>
      <c r="J286" s="4" t="s">
        <v>10</v>
      </c>
      <c r="K286" s="1" t="s">
        <v>13</v>
      </c>
      <c r="L286" s="1" t="s">
        <v>14</v>
      </c>
    </row>
    <row r="287" spans="1:12" x14ac:dyDescent="0.2">
      <c r="A287" s="65">
        <v>39</v>
      </c>
      <c r="B287" s="66" t="s">
        <v>62</v>
      </c>
      <c r="C287" s="2" t="s">
        <v>7</v>
      </c>
      <c r="D287" s="1" t="s">
        <v>48</v>
      </c>
      <c r="E287" s="2" t="s">
        <v>7</v>
      </c>
      <c r="F287" s="1" t="s">
        <v>9</v>
      </c>
      <c r="G287" s="70">
        <v>30</v>
      </c>
      <c r="H287" s="3">
        <v>2.8297872340425498E-4</v>
      </c>
      <c r="I287" s="101">
        <v>1.5230125523012401</v>
      </c>
      <c r="J287" s="4" t="s">
        <v>10</v>
      </c>
      <c r="K287" s="1" t="s">
        <v>13</v>
      </c>
      <c r="L287" s="1" t="s">
        <v>14</v>
      </c>
    </row>
    <row r="288" spans="1:12" x14ac:dyDescent="0.2">
      <c r="A288" s="65">
        <v>39</v>
      </c>
      <c r="B288" s="66" t="s">
        <v>62</v>
      </c>
      <c r="C288" s="2" t="s">
        <v>7</v>
      </c>
      <c r="D288" s="1" t="s">
        <v>48</v>
      </c>
      <c r="E288" s="2" t="s">
        <v>7</v>
      </c>
      <c r="F288" s="1" t="s">
        <v>9</v>
      </c>
      <c r="G288" s="70">
        <v>300</v>
      </c>
      <c r="H288" s="3">
        <v>2.6462765957446799E-4</v>
      </c>
      <c r="I288" s="101">
        <v>1.4644351464435099</v>
      </c>
      <c r="J288" s="4" t="s">
        <v>10</v>
      </c>
      <c r="K288" s="1" t="s">
        <v>13</v>
      </c>
      <c r="L288" s="1" t="s">
        <v>14</v>
      </c>
    </row>
    <row r="289" spans="1:12" x14ac:dyDescent="0.2">
      <c r="A289" s="65">
        <v>39</v>
      </c>
      <c r="B289" s="66" t="s">
        <v>63</v>
      </c>
      <c r="C289" s="2" t="s">
        <v>7</v>
      </c>
      <c r="D289" s="1" t="s">
        <v>48</v>
      </c>
      <c r="E289" s="2" t="s">
        <v>7</v>
      </c>
      <c r="F289" s="1" t="s">
        <v>9</v>
      </c>
      <c r="G289" s="70">
        <v>0</v>
      </c>
      <c r="H289" s="3">
        <v>2.0694087403598901E-4</v>
      </c>
      <c r="I289" s="101">
        <v>0.97907949790794702</v>
      </c>
      <c r="J289" s="4" t="s">
        <v>10</v>
      </c>
      <c r="K289" s="1" t="s">
        <v>11</v>
      </c>
      <c r="L289" s="1" t="s">
        <v>12</v>
      </c>
    </row>
    <row r="290" spans="1:12" x14ac:dyDescent="0.2">
      <c r="A290" s="65">
        <v>39</v>
      </c>
      <c r="B290" s="66" t="s">
        <v>63</v>
      </c>
      <c r="C290" s="2" t="s">
        <v>7</v>
      </c>
      <c r="D290" s="1" t="s">
        <v>48</v>
      </c>
      <c r="E290" s="2" t="s">
        <v>7</v>
      </c>
      <c r="F290" s="1" t="s">
        <v>9</v>
      </c>
      <c r="G290" s="70">
        <v>3.0000000000000001E-3</v>
      </c>
      <c r="H290" s="3">
        <v>2.3778920308483199E-4</v>
      </c>
      <c r="I290" s="101">
        <v>1.1213389121338899</v>
      </c>
      <c r="J290" s="4" t="s">
        <v>10</v>
      </c>
      <c r="K290" s="1" t="s">
        <v>13</v>
      </c>
      <c r="L290" s="1" t="s">
        <v>12</v>
      </c>
    </row>
    <row r="291" spans="1:12" x14ac:dyDescent="0.2">
      <c r="A291" s="65">
        <v>39</v>
      </c>
      <c r="B291" s="66" t="s">
        <v>63</v>
      </c>
      <c r="C291" s="2" t="s">
        <v>7</v>
      </c>
      <c r="D291" s="1" t="s">
        <v>48</v>
      </c>
      <c r="E291" s="2" t="s">
        <v>7</v>
      </c>
      <c r="F291" s="1" t="s">
        <v>9</v>
      </c>
      <c r="G291" s="70">
        <v>0.03</v>
      </c>
      <c r="H291" s="3">
        <v>2.9948586118251798E-4</v>
      </c>
      <c r="I291" s="101">
        <v>1.38075313807531</v>
      </c>
      <c r="J291" s="4" t="s">
        <v>10</v>
      </c>
      <c r="K291" s="1" t="s">
        <v>13</v>
      </c>
      <c r="L291" s="1" t="s">
        <v>16</v>
      </c>
    </row>
    <row r="292" spans="1:12" x14ac:dyDescent="0.2">
      <c r="A292" s="65">
        <v>39</v>
      </c>
      <c r="B292" s="66" t="s">
        <v>63</v>
      </c>
      <c r="C292" s="2" t="s">
        <v>7</v>
      </c>
      <c r="D292" s="1" t="s">
        <v>48</v>
      </c>
      <c r="E292" s="2" t="s">
        <v>7</v>
      </c>
      <c r="F292" s="1" t="s">
        <v>9</v>
      </c>
      <c r="G292" s="70">
        <v>0.3</v>
      </c>
      <c r="H292" s="3">
        <v>4.5886889460154098E-4</v>
      </c>
      <c r="I292" s="101">
        <v>2.1757322175732199</v>
      </c>
      <c r="J292" s="4" t="s">
        <v>10</v>
      </c>
      <c r="K292" s="1" t="s">
        <v>13</v>
      </c>
      <c r="L292" s="1" t="s">
        <v>14</v>
      </c>
    </row>
    <row r="293" spans="1:12" x14ac:dyDescent="0.2">
      <c r="A293" s="65">
        <v>39</v>
      </c>
      <c r="B293" s="66" t="s">
        <v>63</v>
      </c>
      <c r="C293" s="2" t="s">
        <v>7</v>
      </c>
      <c r="D293" s="1" t="s">
        <v>48</v>
      </c>
      <c r="E293" s="2" t="s">
        <v>7</v>
      </c>
      <c r="F293" s="1" t="s">
        <v>9</v>
      </c>
      <c r="G293" s="70">
        <v>3</v>
      </c>
      <c r="H293" s="3">
        <v>6.0796915167094998E-4</v>
      </c>
      <c r="I293" s="101">
        <v>2.8870292887029199</v>
      </c>
      <c r="J293" s="4" t="s">
        <v>10</v>
      </c>
      <c r="K293" s="1" t="s">
        <v>13</v>
      </c>
      <c r="L293" s="1" t="s">
        <v>14</v>
      </c>
    </row>
    <row r="294" spans="1:12" x14ac:dyDescent="0.2">
      <c r="A294" s="65">
        <v>39</v>
      </c>
      <c r="B294" s="66" t="s">
        <v>63</v>
      </c>
      <c r="C294" s="2" t="s">
        <v>7</v>
      </c>
      <c r="D294" s="1" t="s">
        <v>48</v>
      </c>
      <c r="E294" s="2" t="s">
        <v>7</v>
      </c>
      <c r="F294" s="1" t="s">
        <v>9</v>
      </c>
      <c r="G294" s="70">
        <v>30</v>
      </c>
      <c r="H294" s="3">
        <v>8.1876606683804504E-4</v>
      </c>
      <c r="I294" s="101">
        <v>3.8326359832635899</v>
      </c>
      <c r="J294" s="4" t="s">
        <v>10</v>
      </c>
      <c r="K294" s="1" t="s">
        <v>13</v>
      </c>
      <c r="L294" s="1" t="s">
        <v>14</v>
      </c>
    </row>
    <row r="295" spans="1:12" x14ac:dyDescent="0.2">
      <c r="A295" s="65">
        <v>39</v>
      </c>
      <c r="B295" s="66" t="s">
        <v>63</v>
      </c>
      <c r="C295" s="2" t="s">
        <v>7</v>
      </c>
      <c r="D295" s="1" t="s">
        <v>48</v>
      </c>
      <c r="E295" s="2" t="s">
        <v>7</v>
      </c>
      <c r="F295" s="1" t="s">
        <v>9</v>
      </c>
      <c r="G295" s="70">
        <v>300</v>
      </c>
      <c r="H295" s="3">
        <v>8.7532133676092403E-4</v>
      </c>
      <c r="I295" s="101">
        <v>4.0836820083681999</v>
      </c>
      <c r="J295" s="4" t="s">
        <v>10</v>
      </c>
      <c r="K295" s="1" t="s">
        <v>13</v>
      </c>
      <c r="L295" s="1" t="s">
        <v>14</v>
      </c>
    </row>
    <row r="296" spans="1:12" x14ac:dyDescent="0.2">
      <c r="A296" s="65">
        <v>39</v>
      </c>
      <c r="B296" s="66" t="s">
        <v>64</v>
      </c>
      <c r="C296" s="2" t="s">
        <v>7</v>
      </c>
      <c r="D296" s="1" t="s">
        <v>48</v>
      </c>
      <c r="E296" s="2" t="s">
        <v>7</v>
      </c>
      <c r="F296" s="1" t="s">
        <v>9</v>
      </c>
      <c r="G296" s="70">
        <v>0</v>
      </c>
      <c r="H296" s="3">
        <v>2.1311475409835999E-4</v>
      </c>
      <c r="I296" s="101">
        <v>0.97071129707112802</v>
      </c>
      <c r="J296" s="4" t="s">
        <v>10</v>
      </c>
      <c r="K296" s="1" t="s">
        <v>11</v>
      </c>
      <c r="L296" s="1" t="s">
        <v>12</v>
      </c>
    </row>
    <row r="297" spans="1:12" x14ac:dyDescent="0.2">
      <c r="A297" s="65">
        <v>39</v>
      </c>
      <c r="B297" s="66" t="s">
        <v>64</v>
      </c>
      <c r="C297" s="2" t="s">
        <v>7</v>
      </c>
      <c r="D297" s="1" t="s">
        <v>48</v>
      </c>
      <c r="E297" s="2" t="s">
        <v>7</v>
      </c>
      <c r="F297" s="1" t="s">
        <v>9</v>
      </c>
      <c r="G297" s="70">
        <v>3.0000000000000001E-3</v>
      </c>
      <c r="H297" s="3">
        <v>2.7663934426229398E-4</v>
      </c>
      <c r="I297" s="101">
        <v>1.29707112970711</v>
      </c>
      <c r="J297" s="4" t="s">
        <v>10</v>
      </c>
      <c r="K297" s="1" t="s">
        <v>13</v>
      </c>
      <c r="L297" s="1" t="s">
        <v>12</v>
      </c>
    </row>
    <row r="298" spans="1:12" x14ac:dyDescent="0.2">
      <c r="A298" s="65">
        <v>39</v>
      </c>
      <c r="B298" s="66" t="s">
        <v>64</v>
      </c>
      <c r="C298" s="2" t="s">
        <v>7</v>
      </c>
      <c r="D298" s="1" t="s">
        <v>48</v>
      </c>
      <c r="E298" s="2" t="s">
        <v>7</v>
      </c>
      <c r="F298" s="1" t="s">
        <v>9</v>
      </c>
      <c r="G298" s="70">
        <v>0.03</v>
      </c>
      <c r="H298" s="3">
        <v>4.0778688524590099E-4</v>
      </c>
      <c r="I298" s="101">
        <v>1.8828451882845101</v>
      </c>
      <c r="J298" s="4" t="s">
        <v>10</v>
      </c>
      <c r="K298" s="1" t="s">
        <v>13</v>
      </c>
      <c r="L298" s="1" t="s">
        <v>14</v>
      </c>
    </row>
    <row r="299" spans="1:12" x14ac:dyDescent="0.2">
      <c r="A299" s="65">
        <v>39</v>
      </c>
      <c r="B299" s="66" t="s">
        <v>64</v>
      </c>
      <c r="C299" s="2" t="s">
        <v>7</v>
      </c>
      <c r="D299" s="1" t="s">
        <v>48</v>
      </c>
      <c r="E299" s="2" t="s">
        <v>7</v>
      </c>
      <c r="F299" s="1" t="s">
        <v>9</v>
      </c>
      <c r="G299" s="70">
        <v>0.3</v>
      </c>
      <c r="H299" s="3">
        <v>4.4262295081967201E-4</v>
      </c>
      <c r="I299" s="101">
        <v>2.0251046025104502</v>
      </c>
      <c r="J299" s="4" t="s">
        <v>10</v>
      </c>
      <c r="K299" s="1" t="s">
        <v>13</v>
      </c>
      <c r="L299" s="1" t="s">
        <v>14</v>
      </c>
    </row>
    <row r="300" spans="1:12" x14ac:dyDescent="0.2">
      <c r="A300" s="65">
        <v>39</v>
      </c>
      <c r="B300" s="66" t="s">
        <v>64</v>
      </c>
      <c r="C300" s="2" t="s">
        <v>7</v>
      </c>
      <c r="D300" s="1" t="s">
        <v>48</v>
      </c>
      <c r="E300" s="2" t="s">
        <v>7</v>
      </c>
      <c r="F300" s="1" t="s">
        <v>9</v>
      </c>
      <c r="G300" s="70">
        <v>3</v>
      </c>
      <c r="H300" s="3">
        <v>5.9221311475409801E-4</v>
      </c>
      <c r="I300" s="101">
        <v>2.7615062761506199</v>
      </c>
      <c r="J300" s="4" t="s">
        <v>10</v>
      </c>
      <c r="K300" s="1" t="s">
        <v>13</v>
      </c>
      <c r="L300" s="1" t="s">
        <v>14</v>
      </c>
    </row>
    <row r="301" spans="1:12" x14ac:dyDescent="0.2">
      <c r="A301" s="65">
        <v>39</v>
      </c>
      <c r="B301" s="66" t="s">
        <v>64</v>
      </c>
      <c r="C301" s="2" t="s">
        <v>7</v>
      </c>
      <c r="D301" s="1" t="s">
        <v>48</v>
      </c>
      <c r="E301" s="2" t="s">
        <v>7</v>
      </c>
      <c r="F301" s="1" t="s">
        <v>9</v>
      </c>
      <c r="G301" s="70">
        <v>30</v>
      </c>
      <c r="H301" s="3">
        <v>6.8237704918032796E-4</v>
      </c>
      <c r="I301" s="101">
        <v>3.1548117154811699</v>
      </c>
      <c r="J301" s="4" t="s">
        <v>10</v>
      </c>
      <c r="K301" s="1" t="s">
        <v>13</v>
      </c>
      <c r="L301" s="1" t="s">
        <v>14</v>
      </c>
    </row>
    <row r="302" spans="1:12" x14ac:dyDescent="0.2">
      <c r="A302" s="65">
        <v>39</v>
      </c>
      <c r="B302" s="66" t="s">
        <v>64</v>
      </c>
      <c r="C302" s="2" t="s">
        <v>7</v>
      </c>
      <c r="D302" s="1" t="s">
        <v>48</v>
      </c>
      <c r="E302" s="2" t="s">
        <v>7</v>
      </c>
      <c r="F302" s="1" t="s">
        <v>9</v>
      </c>
      <c r="G302" s="70">
        <v>300</v>
      </c>
      <c r="H302" s="3">
        <v>7.3360655737704896E-4</v>
      </c>
      <c r="I302" s="101">
        <v>3.3807531380753102</v>
      </c>
      <c r="J302" s="4" t="s">
        <v>10</v>
      </c>
      <c r="K302" s="1" t="s">
        <v>13</v>
      </c>
      <c r="L302" s="1" t="s">
        <v>14</v>
      </c>
    </row>
    <row r="303" spans="1:12" x14ac:dyDescent="0.2">
      <c r="A303" s="65">
        <v>39</v>
      </c>
      <c r="B303" s="66" t="s">
        <v>61</v>
      </c>
      <c r="C303" s="2" t="s">
        <v>7</v>
      </c>
      <c r="D303" s="1" t="s">
        <v>48</v>
      </c>
      <c r="E303" s="2" t="s">
        <v>65</v>
      </c>
      <c r="G303" s="70">
        <v>0</v>
      </c>
      <c r="H303" s="3">
        <v>1.2181818181818101E-6</v>
      </c>
      <c r="I303" s="101">
        <v>0.97771587743732602</v>
      </c>
      <c r="J303" s="4" t="s">
        <v>10</v>
      </c>
      <c r="K303" s="1" t="s">
        <v>11</v>
      </c>
      <c r="L303" s="1" t="s">
        <v>12</v>
      </c>
    </row>
    <row r="304" spans="1:12" x14ac:dyDescent="0.2">
      <c r="A304" s="65">
        <v>39</v>
      </c>
      <c r="B304" s="66" t="s">
        <v>61</v>
      </c>
      <c r="C304" s="2" t="s">
        <v>7</v>
      </c>
      <c r="D304" s="1" t="s">
        <v>48</v>
      </c>
      <c r="E304" s="2" t="s">
        <v>65</v>
      </c>
      <c r="G304" s="70">
        <v>3.0000000000000001E-3</v>
      </c>
      <c r="H304" s="3">
        <v>1.3212121212121199E-6</v>
      </c>
      <c r="I304" s="101">
        <v>1.0612813370473499</v>
      </c>
      <c r="J304" s="4" t="s">
        <v>10</v>
      </c>
      <c r="K304" s="1" t="s">
        <v>13</v>
      </c>
      <c r="L304" s="1" t="s">
        <v>12</v>
      </c>
    </row>
    <row r="305" spans="1:12" x14ac:dyDescent="0.2">
      <c r="A305" s="65">
        <v>39</v>
      </c>
      <c r="B305" s="66" t="s">
        <v>61</v>
      </c>
      <c r="C305" s="2" t="s">
        <v>7</v>
      </c>
      <c r="D305" s="1" t="s">
        <v>48</v>
      </c>
      <c r="E305" s="2" t="s">
        <v>65</v>
      </c>
      <c r="G305" s="70">
        <v>0.03</v>
      </c>
      <c r="H305" s="3">
        <v>1.1272727272727201E-6</v>
      </c>
      <c r="I305" s="101">
        <v>0.89415041782729598</v>
      </c>
      <c r="J305" s="4" t="s">
        <v>10</v>
      </c>
      <c r="K305" s="1" t="s">
        <v>15</v>
      </c>
      <c r="L305" s="1" t="s">
        <v>12</v>
      </c>
    </row>
    <row r="306" spans="1:12" x14ac:dyDescent="0.2">
      <c r="A306" s="65">
        <v>39</v>
      </c>
      <c r="B306" s="66" t="s">
        <v>61</v>
      </c>
      <c r="C306" s="2" t="s">
        <v>7</v>
      </c>
      <c r="D306" s="1" t="s">
        <v>48</v>
      </c>
      <c r="E306" s="2" t="s">
        <v>65</v>
      </c>
      <c r="G306" s="70">
        <v>0.3</v>
      </c>
      <c r="H306" s="3">
        <v>1.24848484848484E-6</v>
      </c>
      <c r="I306" s="101">
        <v>0.98607242339832801</v>
      </c>
      <c r="J306" s="4" t="s">
        <v>10</v>
      </c>
      <c r="K306" s="1" t="s">
        <v>11</v>
      </c>
      <c r="L306" s="1" t="s">
        <v>12</v>
      </c>
    </row>
    <row r="307" spans="1:12" x14ac:dyDescent="0.2">
      <c r="A307" s="65">
        <v>39</v>
      </c>
      <c r="B307" s="66" t="s">
        <v>61</v>
      </c>
      <c r="C307" s="2" t="s">
        <v>7</v>
      </c>
      <c r="D307" s="1" t="s">
        <v>48</v>
      </c>
      <c r="E307" s="2" t="s">
        <v>65</v>
      </c>
      <c r="G307" s="70">
        <v>3</v>
      </c>
      <c r="H307" s="3">
        <v>1.16969696969696E-6</v>
      </c>
      <c r="I307" s="101">
        <v>0.93593314763231195</v>
      </c>
      <c r="J307" s="4" t="s">
        <v>10</v>
      </c>
      <c r="K307" s="1" t="s">
        <v>15</v>
      </c>
      <c r="L307" s="1" t="s">
        <v>12</v>
      </c>
    </row>
    <row r="308" spans="1:12" x14ac:dyDescent="0.2">
      <c r="A308" s="65">
        <v>39</v>
      </c>
      <c r="B308" s="66" t="s">
        <v>61</v>
      </c>
      <c r="C308" s="2" t="s">
        <v>7</v>
      </c>
      <c r="D308" s="1" t="s">
        <v>48</v>
      </c>
      <c r="E308" s="2" t="s">
        <v>65</v>
      </c>
      <c r="G308" s="70">
        <v>30</v>
      </c>
      <c r="H308" s="3">
        <v>1.2666666666666599E-6</v>
      </c>
      <c r="I308" s="101">
        <v>1.02785515320334</v>
      </c>
      <c r="J308" s="4" t="s">
        <v>10</v>
      </c>
      <c r="K308" s="1" t="s">
        <v>11</v>
      </c>
      <c r="L308" s="1" t="s">
        <v>12</v>
      </c>
    </row>
    <row r="309" spans="1:12" x14ac:dyDescent="0.2">
      <c r="A309" s="65">
        <v>39</v>
      </c>
      <c r="B309" s="66" t="s">
        <v>61</v>
      </c>
      <c r="C309" s="2" t="s">
        <v>7</v>
      </c>
      <c r="D309" s="1" t="s">
        <v>48</v>
      </c>
      <c r="E309" s="2" t="s">
        <v>65</v>
      </c>
      <c r="G309" s="70">
        <v>300</v>
      </c>
      <c r="H309" s="3">
        <v>1.3454545454545399E-6</v>
      </c>
      <c r="I309" s="101">
        <v>1.1866295264623901</v>
      </c>
      <c r="J309" s="4" t="s">
        <v>10</v>
      </c>
      <c r="K309" s="1" t="s">
        <v>13</v>
      </c>
      <c r="L309" s="1" t="s">
        <v>12</v>
      </c>
    </row>
    <row r="310" spans="1:12" x14ac:dyDescent="0.2">
      <c r="A310" s="65">
        <v>39</v>
      </c>
      <c r="B310" s="66" t="s">
        <v>62</v>
      </c>
      <c r="C310" s="2" t="s">
        <v>7</v>
      </c>
      <c r="D310" s="1" t="s">
        <v>48</v>
      </c>
      <c r="E310" s="2" t="s">
        <v>65</v>
      </c>
      <c r="G310" s="70">
        <v>0</v>
      </c>
      <c r="H310" s="3">
        <v>1.6328125000000001E-6</v>
      </c>
      <c r="I310" s="101">
        <v>0.98607242339832901</v>
      </c>
      <c r="J310" s="4" t="s">
        <v>10</v>
      </c>
      <c r="K310" s="1" t="s">
        <v>11</v>
      </c>
      <c r="L310" s="1" t="s">
        <v>12</v>
      </c>
    </row>
    <row r="311" spans="1:12" x14ac:dyDescent="0.2">
      <c r="A311" s="65">
        <v>39</v>
      </c>
      <c r="B311" s="66" t="s">
        <v>62</v>
      </c>
      <c r="C311" s="2" t="s">
        <v>7</v>
      </c>
      <c r="D311" s="1" t="s">
        <v>48</v>
      </c>
      <c r="E311" s="2" t="s">
        <v>65</v>
      </c>
      <c r="G311" s="70">
        <v>3.0000000000000001E-3</v>
      </c>
      <c r="H311" s="3">
        <v>2.1328125000000002E-6</v>
      </c>
      <c r="I311" s="101">
        <v>0.84401114206128003</v>
      </c>
      <c r="J311" s="4" t="s">
        <v>10</v>
      </c>
      <c r="K311" s="1" t="s">
        <v>15</v>
      </c>
      <c r="L311" s="1" t="s">
        <v>12</v>
      </c>
    </row>
    <row r="312" spans="1:12" x14ac:dyDescent="0.2">
      <c r="A312" s="65">
        <v>39</v>
      </c>
      <c r="B312" s="66" t="s">
        <v>62</v>
      </c>
      <c r="C312" s="2" t="s">
        <v>7</v>
      </c>
      <c r="D312" s="1" t="s">
        <v>48</v>
      </c>
      <c r="E312" s="2" t="s">
        <v>65</v>
      </c>
      <c r="G312" s="70">
        <v>0.03</v>
      </c>
      <c r="H312" s="3">
        <v>2.9218749999999999E-6</v>
      </c>
      <c r="I312" s="101">
        <v>1.0947075208913599</v>
      </c>
      <c r="J312" s="4" t="s">
        <v>10</v>
      </c>
      <c r="K312" s="1" t="s">
        <v>13</v>
      </c>
      <c r="L312" s="1" t="s">
        <v>12</v>
      </c>
    </row>
    <row r="313" spans="1:12" x14ac:dyDescent="0.2">
      <c r="A313" s="65">
        <v>39</v>
      </c>
      <c r="B313" s="66" t="s">
        <v>62</v>
      </c>
      <c r="C313" s="2" t="s">
        <v>7</v>
      </c>
      <c r="D313" s="1" t="s">
        <v>48</v>
      </c>
      <c r="E313" s="2" t="s">
        <v>65</v>
      </c>
      <c r="G313" s="70">
        <v>0.3</v>
      </c>
      <c r="H313" s="3">
        <v>4.1328124999999997E-6</v>
      </c>
      <c r="I313" s="101">
        <v>1.49582172701949</v>
      </c>
      <c r="J313" s="4" t="s">
        <v>10</v>
      </c>
      <c r="K313" s="1" t="s">
        <v>13</v>
      </c>
      <c r="L313" s="1" t="s">
        <v>14</v>
      </c>
    </row>
    <row r="314" spans="1:12" x14ac:dyDescent="0.2">
      <c r="A314" s="65">
        <v>39</v>
      </c>
      <c r="B314" s="66" t="s">
        <v>62</v>
      </c>
      <c r="C314" s="2" t="s">
        <v>7</v>
      </c>
      <c r="D314" s="1" t="s">
        <v>48</v>
      </c>
      <c r="E314" s="2" t="s">
        <v>65</v>
      </c>
      <c r="G314" s="70">
        <v>3</v>
      </c>
      <c r="H314" s="3">
        <v>4.0859375000000002E-6</v>
      </c>
      <c r="I314" s="101">
        <v>2.4066852367688001</v>
      </c>
      <c r="J314" s="4" t="s">
        <v>10</v>
      </c>
      <c r="K314" s="1" t="s">
        <v>13</v>
      </c>
      <c r="L314" s="1" t="s">
        <v>16</v>
      </c>
    </row>
    <row r="315" spans="1:12" x14ac:dyDescent="0.2">
      <c r="A315" s="65">
        <v>39</v>
      </c>
      <c r="B315" s="66" t="s">
        <v>62</v>
      </c>
      <c r="C315" s="2" t="s">
        <v>7</v>
      </c>
      <c r="D315" s="1" t="s">
        <v>48</v>
      </c>
      <c r="E315" s="2" t="s">
        <v>65</v>
      </c>
      <c r="G315" s="70">
        <v>30</v>
      </c>
      <c r="H315" s="3">
        <v>4.9374999999999904E-6</v>
      </c>
      <c r="I315" s="101">
        <v>2.0974930362116901</v>
      </c>
      <c r="J315" s="4" t="s">
        <v>10</v>
      </c>
      <c r="K315" s="1" t="s">
        <v>13</v>
      </c>
      <c r="L315" s="1" t="s">
        <v>16</v>
      </c>
    </row>
    <row r="316" spans="1:12" x14ac:dyDescent="0.2">
      <c r="A316" s="65">
        <v>39</v>
      </c>
      <c r="B316" s="66" t="s">
        <v>62</v>
      </c>
      <c r="C316" s="2" t="s">
        <v>7</v>
      </c>
      <c r="D316" s="1" t="s">
        <v>48</v>
      </c>
      <c r="E316" s="2" t="s">
        <v>65</v>
      </c>
      <c r="G316" s="70">
        <v>300</v>
      </c>
      <c r="H316" s="3">
        <v>4.9453124999999999E-6</v>
      </c>
      <c r="I316" s="101">
        <v>2.6072423398328599</v>
      </c>
      <c r="J316" s="4" t="s">
        <v>10</v>
      </c>
      <c r="K316" s="1" t="s">
        <v>13</v>
      </c>
      <c r="L316" s="1" t="s">
        <v>14</v>
      </c>
    </row>
    <row r="317" spans="1:12" x14ac:dyDescent="0.2">
      <c r="A317" s="65">
        <v>39</v>
      </c>
      <c r="B317" s="66" t="s">
        <v>63</v>
      </c>
      <c r="C317" s="2" t="s">
        <v>7</v>
      </c>
      <c r="D317" s="1" t="s">
        <v>48</v>
      </c>
      <c r="E317" s="2" t="s">
        <v>65</v>
      </c>
      <c r="G317" s="70">
        <v>0</v>
      </c>
      <c r="H317" s="3">
        <v>1.0386965376781999E-6</v>
      </c>
      <c r="I317" s="101">
        <v>0.98607242339832801</v>
      </c>
      <c r="J317" s="4" t="s">
        <v>10</v>
      </c>
      <c r="K317" s="1" t="s">
        <v>11</v>
      </c>
      <c r="L317" s="1" t="s">
        <v>12</v>
      </c>
    </row>
    <row r="318" spans="1:12" x14ac:dyDescent="0.2">
      <c r="A318" s="65">
        <v>39</v>
      </c>
      <c r="B318" s="66" t="s">
        <v>63</v>
      </c>
      <c r="C318" s="2" t="s">
        <v>7</v>
      </c>
      <c r="D318" s="1" t="s">
        <v>48</v>
      </c>
      <c r="E318" s="2" t="s">
        <v>65</v>
      </c>
      <c r="G318" s="70">
        <v>3.0000000000000001E-3</v>
      </c>
      <c r="H318" s="3">
        <v>9.2464358452138396E-7</v>
      </c>
      <c r="I318" s="101">
        <v>0.94428969359331305</v>
      </c>
      <c r="J318" s="4" t="s">
        <v>10</v>
      </c>
      <c r="K318" s="1" t="s">
        <v>15</v>
      </c>
      <c r="L318" s="1" t="s">
        <v>12</v>
      </c>
    </row>
    <row r="319" spans="1:12" x14ac:dyDescent="0.2">
      <c r="A319" s="65">
        <v>39</v>
      </c>
      <c r="B319" s="66" t="s">
        <v>63</v>
      </c>
      <c r="C319" s="2" t="s">
        <v>7</v>
      </c>
      <c r="D319" s="1" t="s">
        <v>48</v>
      </c>
      <c r="E319" s="2" t="s">
        <v>65</v>
      </c>
      <c r="G319" s="70">
        <v>0.03</v>
      </c>
      <c r="H319" s="3">
        <v>9.2464358452138396E-7</v>
      </c>
      <c r="I319" s="101">
        <v>0.86908077994428901</v>
      </c>
      <c r="J319" s="4" t="s">
        <v>10</v>
      </c>
      <c r="K319" s="1" t="s">
        <v>15</v>
      </c>
      <c r="L319" s="1" t="s">
        <v>12</v>
      </c>
    </row>
    <row r="320" spans="1:12" x14ac:dyDescent="0.2">
      <c r="A320" s="65">
        <v>39</v>
      </c>
      <c r="B320" s="66" t="s">
        <v>63</v>
      </c>
      <c r="C320" s="2" t="s">
        <v>7</v>
      </c>
      <c r="D320" s="1" t="s">
        <v>48</v>
      </c>
      <c r="E320" s="2" t="s">
        <v>65</v>
      </c>
      <c r="G320" s="70">
        <v>0.3</v>
      </c>
      <c r="H320" s="3">
        <v>1.0386965376781999E-6</v>
      </c>
      <c r="I320" s="101">
        <v>1.01114206128133</v>
      </c>
      <c r="J320" s="4" t="s">
        <v>10</v>
      </c>
      <c r="K320" s="1" t="s">
        <v>11</v>
      </c>
      <c r="L320" s="1" t="s">
        <v>12</v>
      </c>
    </row>
    <row r="321" spans="1:12" x14ac:dyDescent="0.2">
      <c r="A321" s="65">
        <v>39</v>
      </c>
      <c r="B321" s="66" t="s">
        <v>63</v>
      </c>
      <c r="C321" s="2" t="s">
        <v>7</v>
      </c>
      <c r="D321" s="1" t="s">
        <v>48</v>
      </c>
      <c r="E321" s="2" t="s">
        <v>65</v>
      </c>
      <c r="G321" s="70">
        <v>3</v>
      </c>
      <c r="H321" s="3">
        <v>1.5437881873727E-6</v>
      </c>
      <c r="I321" s="101">
        <v>1.74651810584958</v>
      </c>
      <c r="J321" s="4" t="s">
        <v>10</v>
      </c>
      <c r="K321" s="1" t="s">
        <v>13</v>
      </c>
      <c r="L321" s="1" t="s">
        <v>16</v>
      </c>
    </row>
    <row r="322" spans="1:12" x14ac:dyDescent="0.2">
      <c r="A322" s="65">
        <v>39</v>
      </c>
      <c r="B322" s="66" t="s">
        <v>63</v>
      </c>
      <c r="C322" s="2" t="s">
        <v>7</v>
      </c>
      <c r="D322" s="1" t="s">
        <v>48</v>
      </c>
      <c r="E322" s="2" t="s">
        <v>65</v>
      </c>
      <c r="G322" s="70">
        <v>30</v>
      </c>
      <c r="H322" s="3">
        <v>1.43788187372708E-6</v>
      </c>
      <c r="I322" s="101">
        <v>1.5626740947075199</v>
      </c>
      <c r="J322" s="4" t="s">
        <v>10</v>
      </c>
      <c r="K322" s="1" t="s">
        <v>13</v>
      </c>
      <c r="L322" s="1" t="s">
        <v>14</v>
      </c>
    </row>
    <row r="323" spans="1:12" x14ac:dyDescent="0.2">
      <c r="A323" s="65">
        <v>39</v>
      </c>
      <c r="B323" s="66" t="s">
        <v>63</v>
      </c>
      <c r="C323" s="2" t="s">
        <v>7</v>
      </c>
      <c r="D323" s="1" t="s">
        <v>48</v>
      </c>
      <c r="E323" s="2" t="s">
        <v>65</v>
      </c>
      <c r="G323" s="70">
        <v>300</v>
      </c>
      <c r="H323" s="3">
        <v>4.28920570264765E-6</v>
      </c>
      <c r="I323" s="101">
        <v>4.1281337047353697</v>
      </c>
      <c r="J323" s="4" t="s">
        <v>10</v>
      </c>
      <c r="K323" s="1" t="s">
        <v>13</v>
      </c>
      <c r="L323" s="1" t="s">
        <v>14</v>
      </c>
    </row>
    <row r="324" spans="1:12" x14ac:dyDescent="0.2">
      <c r="A324" s="65">
        <v>39</v>
      </c>
      <c r="B324" s="66" t="s">
        <v>64</v>
      </c>
      <c r="C324" s="2" t="s">
        <v>7</v>
      </c>
      <c r="D324" s="1" t="s">
        <v>48</v>
      </c>
      <c r="E324" s="2" t="s">
        <v>65</v>
      </c>
      <c r="G324" s="70">
        <v>0</v>
      </c>
      <c r="H324" s="3">
        <v>2.7233429394812598E-6</v>
      </c>
      <c r="I324" s="101">
        <v>1.03621169916434</v>
      </c>
      <c r="J324" s="4" t="s">
        <v>10</v>
      </c>
      <c r="K324" s="1" t="s">
        <v>11</v>
      </c>
      <c r="L324" s="1" t="s">
        <v>12</v>
      </c>
    </row>
    <row r="325" spans="1:12" x14ac:dyDescent="0.2">
      <c r="A325" s="65">
        <v>39</v>
      </c>
      <c r="B325" s="66" t="s">
        <v>64</v>
      </c>
      <c r="C325" s="2" t="s">
        <v>7</v>
      </c>
      <c r="D325" s="1" t="s">
        <v>48</v>
      </c>
      <c r="E325" s="2" t="s">
        <v>65</v>
      </c>
      <c r="G325" s="70">
        <v>3.0000000000000001E-3</v>
      </c>
      <c r="H325" s="3">
        <v>3.2420749279538799E-6</v>
      </c>
      <c r="I325" s="101">
        <v>1.1699164345403901</v>
      </c>
      <c r="J325" s="4" t="s">
        <v>10</v>
      </c>
      <c r="K325" s="1" t="s">
        <v>13</v>
      </c>
      <c r="L325" s="1" t="s">
        <v>12</v>
      </c>
    </row>
    <row r="326" spans="1:12" x14ac:dyDescent="0.2">
      <c r="A326" s="65">
        <v>39</v>
      </c>
      <c r="B326" s="66" t="s">
        <v>64</v>
      </c>
      <c r="C326" s="2" t="s">
        <v>7</v>
      </c>
      <c r="D326" s="1" t="s">
        <v>48</v>
      </c>
      <c r="E326" s="2" t="s">
        <v>65</v>
      </c>
      <c r="G326" s="70">
        <v>0.03</v>
      </c>
      <c r="H326" s="3">
        <v>4.9711815561959598E-6</v>
      </c>
      <c r="I326" s="101">
        <v>1.8217270194985999</v>
      </c>
      <c r="J326" s="4" t="s">
        <v>10</v>
      </c>
      <c r="K326" s="1" t="s">
        <v>13</v>
      </c>
      <c r="L326" s="1" t="s">
        <v>16</v>
      </c>
    </row>
    <row r="327" spans="1:12" x14ac:dyDescent="0.2">
      <c r="A327" s="65">
        <v>39</v>
      </c>
      <c r="B327" s="66" t="s">
        <v>64</v>
      </c>
      <c r="C327" s="2" t="s">
        <v>7</v>
      </c>
      <c r="D327" s="1" t="s">
        <v>48</v>
      </c>
      <c r="E327" s="2" t="s">
        <v>65</v>
      </c>
      <c r="G327" s="70">
        <v>0.3</v>
      </c>
      <c r="H327" s="3">
        <v>5.5763688760806797E-6</v>
      </c>
      <c r="I327" s="101">
        <v>1.8969359331476301</v>
      </c>
      <c r="J327" s="4" t="s">
        <v>10</v>
      </c>
      <c r="K327" s="1" t="s">
        <v>13</v>
      </c>
      <c r="L327" s="1" t="s">
        <v>14</v>
      </c>
    </row>
    <row r="328" spans="1:12" x14ac:dyDescent="0.2">
      <c r="A328" s="65">
        <v>39</v>
      </c>
      <c r="B328" s="66" t="s">
        <v>64</v>
      </c>
      <c r="C328" s="2" t="s">
        <v>7</v>
      </c>
      <c r="D328" s="1" t="s">
        <v>48</v>
      </c>
      <c r="E328" s="2" t="s">
        <v>65</v>
      </c>
      <c r="G328" s="70">
        <v>3</v>
      </c>
      <c r="H328" s="3">
        <v>5.8645533141210202E-6</v>
      </c>
      <c r="I328" s="101">
        <v>2.1058495821726999</v>
      </c>
      <c r="J328" s="4" t="s">
        <v>10</v>
      </c>
      <c r="K328" s="1" t="s">
        <v>13</v>
      </c>
      <c r="L328" s="1" t="s">
        <v>14</v>
      </c>
    </row>
    <row r="329" spans="1:12" x14ac:dyDescent="0.2">
      <c r="A329" s="65">
        <v>39</v>
      </c>
      <c r="B329" s="66" t="s">
        <v>64</v>
      </c>
      <c r="C329" s="2" t="s">
        <v>7</v>
      </c>
      <c r="D329" s="1" t="s">
        <v>48</v>
      </c>
      <c r="E329" s="2" t="s">
        <v>65</v>
      </c>
      <c r="G329" s="70">
        <v>30</v>
      </c>
      <c r="H329" s="3">
        <v>8.5734870317002805E-6</v>
      </c>
      <c r="I329" s="101">
        <v>2.9415041782729801</v>
      </c>
      <c r="J329" s="4" t="s">
        <v>10</v>
      </c>
      <c r="K329" s="1" t="s">
        <v>13</v>
      </c>
      <c r="L329" s="1" t="s">
        <v>14</v>
      </c>
    </row>
    <row r="330" spans="1:12" x14ac:dyDescent="0.2">
      <c r="A330" s="65">
        <v>39</v>
      </c>
      <c r="B330" s="66" t="s">
        <v>64</v>
      </c>
      <c r="C330" s="2" t="s">
        <v>7</v>
      </c>
      <c r="D330" s="1" t="s">
        <v>48</v>
      </c>
      <c r="E330" s="2" t="s">
        <v>65</v>
      </c>
      <c r="G330" s="70">
        <v>300</v>
      </c>
      <c r="H330" s="3">
        <v>1.1541786743515801E-5</v>
      </c>
      <c r="I330" s="101">
        <v>4.2284122562673998</v>
      </c>
      <c r="J330" s="4" t="s">
        <v>10</v>
      </c>
      <c r="K330" s="1" t="s">
        <v>13</v>
      </c>
      <c r="L330" s="1" t="s">
        <v>14</v>
      </c>
    </row>
    <row r="331" spans="1:12" x14ac:dyDescent="0.2">
      <c r="A331" s="65">
        <v>39</v>
      </c>
      <c r="B331" s="66" t="s">
        <v>61</v>
      </c>
      <c r="C331" s="2" t="s">
        <v>7</v>
      </c>
      <c r="D331" s="1" t="s">
        <v>9</v>
      </c>
      <c r="E331" s="2" t="s">
        <v>7</v>
      </c>
      <c r="F331" s="1" t="s">
        <v>66</v>
      </c>
      <c r="G331" s="70">
        <v>0</v>
      </c>
      <c r="H331" s="3" t="s">
        <v>10</v>
      </c>
      <c r="I331" s="101">
        <v>1</v>
      </c>
      <c r="J331" s="4" t="s">
        <v>10</v>
      </c>
      <c r="K331" s="1" t="s">
        <v>11</v>
      </c>
      <c r="L331" s="1" t="s">
        <v>12</v>
      </c>
    </row>
    <row r="332" spans="1:12" x14ac:dyDescent="0.2">
      <c r="A332" s="65">
        <v>39</v>
      </c>
      <c r="B332" s="66" t="s">
        <v>61</v>
      </c>
      <c r="C332" s="2" t="s">
        <v>7</v>
      </c>
      <c r="D332" s="1" t="s">
        <v>9</v>
      </c>
      <c r="E332" s="2" t="s">
        <v>7</v>
      </c>
      <c r="F332" s="1" t="s">
        <v>66</v>
      </c>
      <c r="G332" s="70">
        <v>0.03</v>
      </c>
      <c r="H332" s="3" t="s">
        <v>10</v>
      </c>
      <c r="I332" s="101">
        <v>1.0805008944543899</v>
      </c>
      <c r="J332" s="4" t="s">
        <v>10</v>
      </c>
      <c r="K332" s="1" t="s">
        <v>13</v>
      </c>
      <c r="L332" s="1" t="s">
        <v>12</v>
      </c>
    </row>
    <row r="333" spans="1:12" x14ac:dyDescent="0.2">
      <c r="A333" s="65">
        <v>39</v>
      </c>
      <c r="B333" s="66" t="s">
        <v>61</v>
      </c>
      <c r="C333" s="2" t="s">
        <v>7</v>
      </c>
      <c r="D333" s="1" t="s">
        <v>9</v>
      </c>
      <c r="E333" s="2" t="s">
        <v>7</v>
      </c>
      <c r="F333" s="1" t="s">
        <v>66</v>
      </c>
      <c r="G333" s="70">
        <v>3</v>
      </c>
      <c r="H333" s="3" t="s">
        <v>10</v>
      </c>
      <c r="I333" s="101">
        <v>2.0733452593917701</v>
      </c>
      <c r="J333" s="4" t="s">
        <v>10</v>
      </c>
      <c r="K333" s="1" t="s">
        <v>13</v>
      </c>
      <c r="L333" s="1" t="s">
        <v>14</v>
      </c>
    </row>
    <row r="334" spans="1:12" x14ac:dyDescent="0.2">
      <c r="A334" s="65">
        <v>39</v>
      </c>
      <c r="B334" s="66" t="s">
        <v>61</v>
      </c>
      <c r="C334" s="2" t="s">
        <v>7</v>
      </c>
      <c r="D334" s="1" t="s">
        <v>9</v>
      </c>
      <c r="E334" s="2" t="s">
        <v>7</v>
      </c>
      <c r="F334" s="1" t="s">
        <v>66</v>
      </c>
      <c r="G334" s="70">
        <v>3</v>
      </c>
      <c r="H334" s="3" t="s">
        <v>10</v>
      </c>
      <c r="I334" s="101">
        <v>2.5187835420393601</v>
      </c>
      <c r="J334" s="4" t="s">
        <v>10</v>
      </c>
      <c r="K334" s="1" t="s">
        <v>13</v>
      </c>
      <c r="L334" s="1" t="s">
        <v>14</v>
      </c>
    </row>
    <row r="335" spans="1:12" x14ac:dyDescent="0.2">
      <c r="A335" s="65">
        <v>39</v>
      </c>
      <c r="B335" s="66" t="s">
        <v>61</v>
      </c>
      <c r="C335" s="2" t="s">
        <v>7</v>
      </c>
      <c r="D335" s="1" t="s">
        <v>9</v>
      </c>
      <c r="E335" s="2" t="s">
        <v>7</v>
      </c>
      <c r="F335" s="1" t="s">
        <v>66</v>
      </c>
      <c r="G335" s="70">
        <v>300</v>
      </c>
      <c r="H335" s="3" t="s">
        <v>10</v>
      </c>
      <c r="I335" s="101">
        <v>2.5456171735241502</v>
      </c>
      <c r="J335" s="4" t="s">
        <v>10</v>
      </c>
      <c r="K335" s="1" t="s">
        <v>13</v>
      </c>
      <c r="L335" s="1" t="s">
        <v>14</v>
      </c>
    </row>
    <row r="336" spans="1:12" x14ac:dyDescent="0.2">
      <c r="A336" s="65">
        <v>39</v>
      </c>
      <c r="B336" s="66" t="s">
        <v>62</v>
      </c>
      <c r="C336" s="2" t="s">
        <v>7</v>
      </c>
      <c r="D336" s="1" t="s">
        <v>9</v>
      </c>
      <c r="E336" s="2" t="s">
        <v>7</v>
      </c>
      <c r="F336" s="1" t="s">
        <v>66</v>
      </c>
      <c r="G336" s="70">
        <v>0</v>
      </c>
      <c r="H336" s="3" t="s">
        <v>10</v>
      </c>
      <c r="I336" s="101">
        <v>1</v>
      </c>
      <c r="J336" s="4" t="s">
        <v>10</v>
      </c>
      <c r="K336" s="1" t="s">
        <v>11</v>
      </c>
      <c r="L336" s="1" t="s">
        <v>12</v>
      </c>
    </row>
    <row r="337" spans="1:12" x14ac:dyDescent="0.2">
      <c r="A337" s="65">
        <v>39</v>
      </c>
      <c r="B337" s="66" t="s">
        <v>62</v>
      </c>
      <c r="C337" s="2" t="s">
        <v>7</v>
      </c>
      <c r="D337" s="1" t="s">
        <v>9</v>
      </c>
      <c r="E337" s="2" t="s">
        <v>7</v>
      </c>
      <c r="F337" s="1" t="s">
        <v>66</v>
      </c>
      <c r="G337" s="70">
        <v>0.03</v>
      </c>
      <c r="H337" s="3" t="s">
        <v>10</v>
      </c>
      <c r="I337" s="101">
        <v>0.82826475849732695</v>
      </c>
      <c r="J337" s="4" t="s">
        <v>10</v>
      </c>
      <c r="K337" s="1" t="s">
        <v>15</v>
      </c>
      <c r="L337" s="1" t="s">
        <v>12</v>
      </c>
    </row>
    <row r="338" spans="1:12" x14ac:dyDescent="0.2">
      <c r="A338" s="65">
        <v>39</v>
      </c>
      <c r="B338" s="66" t="s">
        <v>62</v>
      </c>
      <c r="C338" s="2" t="s">
        <v>7</v>
      </c>
      <c r="D338" s="1" t="s">
        <v>9</v>
      </c>
      <c r="E338" s="2" t="s">
        <v>7</v>
      </c>
      <c r="F338" s="1" t="s">
        <v>66</v>
      </c>
      <c r="G338" s="70">
        <v>3</v>
      </c>
      <c r="H338" s="3" t="s">
        <v>10</v>
      </c>
      <c r="I338" s="101">
        <v>1.9928443649373899</v>
      </c>
      <c r="J338" s="4" t="s">
        <v>10</v>
      </c>
      <c r="K338" s="1" t="s">
        <v>13</v>
      </c>
      <c r="L338" s="1" t="s">
        <v>14</v>
      </c>
    </row>
    <row r="339" spans="1:12" x14ac:dyDescent="0.2">
      <c r="A339" s="65">
        <v>39</v>
      </c>
      <c r="B339" s="66" t="s">
        <v>62</v>
      </c>
      <c r="C339" s="2" t="s">
        <v>7</v>
      </c>
      <c r="D339" s="1" t="s">
        <v>9</v>
      </c>
      <c r="E339" s="2" t="s">
        <v>7</v>
      </c>
      <c r="F339" s="1" t="s">
        <v>66</v>
      </c>
      <c r="G339" s="70">
        <v>3</v>
      </c>
      <c r="H339" s="3" t="s">
        <v>10</v>
      </c>
      <c r="I339" s="101">
        <v>2.1001788908765699</v>
      </c>
      <c r="J339" s="4" t="s">
        <v>10</v>
      </c>
      <c r="K339" s="1" t="s">
        <v>13</v>
      </c>
      <c r="L339" s="1" t="s">
        <v>14</v>
      </c>
    </row>
    <row r="340" spans="1:12" x14ac:dyDescent="0.2">
      <c r="A340" s="65">
        <v>39</v>
      </c>
      <c r="B340" s="66" t="s">
        <v>62</v>
      </c>
      <c r="C340" s="2" t="s">
        <v>7</v>
      </c>
      <c r="D340" s="1" t="s">
        <v>9</v>
      </c>
      <c r="E340" s="2" t="s">
        <v>7</v>
      </c>
      <c r="F340" s="1" t="s">
        <v>66</v>
      </c>
      <c r="G340" s="70">
        <v>300</v>
      </c>
      <c r="H340" s="3" t="s">
        <v>10</v>
      </c>
      <c r="I340" s="101">
        <v>2.6153846153846101</v>
      </c>
      <c r="J340" s="4" t="s">
        <v>10</v>
      </c>
      <c r="K340" s="1" t="s">
        <v>13</v>
      </c>
      <c r="L340" s="1" t="s">
        <v>14</v>
      </c>
    </row>
    <row r="341" spans="1:12" x14ac:dyDescent="0.2">
      <c r="A341" s="65">
        <v>39</v>
      </c>
      <c r="B341" s="66" t="s">
        <v>63</v>
      </c>
      <c r="C341" s="2" t="s">
        <v>7</v>
      </c>
      <c r="D341" s="1" t="s">
        <v>9</v>
      </c>
      <c r="E341" s="2" t="s">
        <v>7</v>
      </c>
      <c r="F341" s="1" t="s">
        <v>66</v>
      </c>
      <c r="G341" s="70">
        <v>0</v>
      </c>
      <c r="H341" s="3" t="s">
        <v>10</v>
      </c>
      <c r="I341" s="101">
        <v>1</v>
      </c>
      <c r="J341" s="4" t="s">
        <v>10</v>
      </c>
      <c r="K341" s="1" t="s">
        <v>11</v>
      </c>
      <c r="L341" s="1" t="s">
        <v>12</v>
      </c>
    </row>
    <row r="342" spans="1:12" x14ac:dyDescent="0.2">
      <c r="A342" s="65">
        <v>39</v>
      </c>
      <c r="B342" s="66" t="s">
        <v>63</v>
      </c>
      <c r="C342" s="2" t="s">
        <v>7</v>
      </c>
      <c r="D342" s="1" t="s">
        <v>9</v>
      </c>
      <c r="E342" s="2" t="s">
        <v>7</v>
      </c>
      <c r="F342" s="1" t="s">
        <v>66</v>
      </c>
      <c r="G342" s="70">
        <v>0.03</v>
      </c>
      <c r="H342" s="3" t="s">
        <v>10</v>
      </c>
      <c r="I342" s="101">
        <v>1.63864042933811</v>
      </c>
      <c r="J342" s="4" t="s">
        <v>10</v>
      </c>
      <c r="K342" s="1" t="s">
        <v>13</v>
      </c>
      <c r="L342" s="1" t="s">
        <v>12</v>
      </c>
    </row>
    <row r="343" spans="1:12" x14ac:dyDescent="0.2">
      <c r="A343" s="65">
        <v>39</v>
      </c>
      <c r="B343" s="66" t="s">
        <v>63</v>
      </c>
      <c r="C343" s="2" t="s">
        <v>7</v>
      </c>
      <c r="D343" s="1" t="s">
        <v>9</v>
      </c>
      <c r="E343" s="2" t="s">
        <v>7</v>
      </c>
      <c r="F343" s="1" t="s">
        <v>66</v>
      </c>
      <c r="G343" s="70">
        <v>3</v>
      </c>
      <c r="H343" s="3" t="s">
        <v>10</v>
      </c>
      <c r="I343" s="101">
        <v>2.0143112701252299</v>
      </c>
      <c r="J343" s="4" t="s">
        <v>10</v>
      </c>
      <c r="K343" s="1" t="s">
        <v>13</v>
      </c>
      <c r="L343" s="1" t="s">
        <v>16</v>
      </c>
    </row>
    <row r="344" spans="1:12" x14ac:dyDescent="0.2">
      <c r="A344" s="65">
        <v>39</v>
      </c>
      <c r="B344" s="66" t="s">
        <v>63</v>
      </c>
      <c r="C344" s="2" t="s">
        <v>7</v>
      </c>
      <c r="D344" s="1" t="s">
        <v>9</v>
      </c>
      <c r="E344" s="2" t="s">
        <v>7</v>
      </c>
      <c r="F344" s="1" t="s">
        <v>66</v>
      </c>
      <c r="G344" s="70">
        <v>30</v>
      </c>
      <c r="H344" s="3" t="s">
        <v>10</v>
      </c>
      <c r="I344" s="101">
        <v>2.53488372093023</v>
      </c>
      <c r="J344" s="4" t="s">
        <v>10</v>
      </c>
      <c r="K344" s="1" t="s">
        <v>13</v>
      </c>
      <c r="L344" s="1" t="s">
        <v>14</v>
      </c>
    </row>
    <row r="345" spans="1:12" x14ac:dyDescent="0.2">
      <c r="A345" s="65">
        <v>39</v>
      </c>
      <c r="B345" s="66" t="s">
        <v>63</v>
      </c>
      <c r="C345" s="2" t="s">
        <v>7</v>
      </c>
      <c r="D345" s="1" t="s">
        <v>9</v>
      </c>
      <c r="E345" s="2" t="s">
        <v>7</v>
      </c>
      <c r="F345" s="1" t="s">
        <v>66</v>
      </c>
      <c r="G345" s="70">
        <v>300</v>
      </c>
      <c r="H345" s="3" t="s">
        <v>10</v>
      </c>
      <c r="I345" s="101">
        <v>2.8032200357781698</v>
      </c>
      <c r="J345" s="4" t="s">
        <v>10</v>
      </c>
      <c r="K345" s="1" t="s">
        <v>13</v>
      </c>
      <c r="L345" s="1" t="s">
        <v>14</v>
      </c>
    </row>
    <row r="346" spans="1:12" x14ac:dyDescent="0.2">
      <c r="A346" s="65">
        <v>39</v>
      </c>
      <c r="B346" s="66" t="s">
        <v>64</v>
      </c>
      <c r="C346" s="2" t="s">
        <v>7</v>
      </c>
      <c r="D346" s="1" t="s">
        <v>9</v>
      </c>
      <c r="E346" s="2" t="s">
        <v>7</v>
      </c>
      <c r="F346" s="1" t="s">
        <v>66</v>
      </c>
      <c r="G346" s="70">
        <v>0</v>
      </c>
      <c r="H346" s="3" t="s">
        <v>10</v>
      </c>
      <c r="I346" s="101">
        <v>1</v>
      </c>
      <c r="J346" s="4" t="s">
        <v>10</v>
      </c>
      <c r="K346" s="1" t="s">
        <v>11</v>
      </c>
      <c r="L346" s="1" t="s">
        <v>12</v>
      </c>
    </row>
    <row r="347" spans="1:12" x14ac:dyDescent="0.2">
      <c r="A347" s="65">
        <v>39</v>
      </c>
      <c r="B347" s="66" t="s">
        <v>64</v>
      </c>
      <c r="C347" s="2" t="s">
        <v>7</v>
      </c>
      <c r="D347" s="1" t="s">
        <v>9</v>
      </c>
      <c r="E347" s="2" t="s">
        <v>7</v>
      </c>
      <c r="F347" s="1" t="s">
        <v>66</v>
      </c>
      <c r="G347" s="70">
        <v>0.03</v>
      </c>
      <c r="H347" s="3" t="s">
        <v>10</v>
      </c>
      <c r="I347" s="101">
        <v>0.80143112701253205</v>
      </c>
      <c r="J347" s="4" t="s">
        <v>10</v>
      </c>
      <c r="K347" s="1" t="s">
        <v>15</v>
      </c>
      <c r="L347" s="1" t="s">
        <v>12</v>
      </c>
    </row>
    <row r="348" spans="1:12" x14ac:dyDescent="0.2">
      <c r="A348" s="65">
        <v>39</v>
      </c>
      <c r="B348" s="66" t="s">
        <v>64</v>
      </c>
      <c r="C348" s="2" t="s">
        <v>7</v>
      </c>
      <c r="D348" s="1" t="s">
        <v>9</v>
      </c>
      <c r="E348" s="2" t="s">
        <v>7</v>
      </c>
      <c r="F348" s="1" t="s">
        <v>66</v>
      </c>
      <c r="G348" s="70">
        <v>3</v>
      </c>
      <c r="H348" s="3" t="s">
        <v>10</v>
      </c>
      <c r="I348" s="101">
        <v>2.19677996422182</v>
      </c>
      <c r="J348" s="4" t="s">
        <v>10</v>
      </c>
      <c r="K348" s="1" t="s">
        <v>13</v>
      </c>
      <c r="L348" s="1" t="s">
        <v>14</v>
      </c>
    </row>
    <row r="349" spans="1:12" x14ac:dyDescent="0.2">
      <c r="A349" s="65">
        <v>39</v>
      </c>
      <c r="B349" s="66" t="s">
        <v>64</v>
      </c>
      <c r="C349" s="2" t="s">
        <v>7</v>
      </c>
      <c r="D349" s="1" t="s">
        <v>9</v>
      </c>
      <c r="E349" s="2" t="s">
        <v>7</v>
      </c>
      <c r="F349" s="1" t="s">
        <v>66</v>
      </c>
      <c r="G349" s="70">
        <v>30</v>
      </c>
      <c r="H349" s="3" t="s">
        <v>10</v>
      </c>
      <c r="I349" s="101">
        <v>2.7978533094812201</v>
      </c>
      <c r="J349" s="4" t="s">
        <v>10</v>
      </c>
      <c r="K349" s="1" t="s">
        <v>13</v>
      </c>
      <c r="L349" s="1" t="s">
        <v>14</v>
      </c>
    </row>
    <row r="350" spans="1:12" x14ac:dyDescent="0.2">
      <c r="A350" s="65">
        <v>39</v>
      </c>
      <c r="B350" s="66" t="s">
        <v>64</v>
      </c>
      <c r="C350" s="2" t="s">
        <v>7</v>
      </c>
      <c r="D350" s="1" t="s">
        <v>9</v>
      </c>
      <c r="E350" s="2" t="s">
        <v>7</v>
      </c>
      <c r="F350" s="1" t="s">
        <v>66</v>
      </c>
      <c r="G350" s="70">
        <v>300</v>
      </c>
      <c r="H350" s="3" t="s">
        <v>10</v>
      </c>
      <c r="I350" s="101">
        <v>2.9159212880143102</v>
      </c>
      <c r="J350" s="4" t="s">
        <v>10</v>
      </c>
      <c r="K350" s="1" t="s">
        <v>13</v>
      </c>
      <c r="L350" s="1" t="s">
        <v>14</v>
      </c>
    </row>
    <row r="351" spans="1:12" x14ac:dyDescent="0.2">
      <c r="A351" s="65">
        <v>39</v>
      </c>
      <c r="B351" s="66" t="s">
        <v>61</v>
      </c>
      <c r="C351" s="2" t="s">
        <v>65</v>
      </c>
      <c r="E351" s="2" t="s">
        <v>7</v>
      </c>
      <c r="F351" s="1" t="s">
        <v>9</v>
      </c>
      <c r="G351" s="70">
        <v>0</v>
      </c>
      <c r="H351" s="3">
        <v>4.8522167487684699E-6</v>
      </c>
      <c r="I351" s="101">
        <v>1</v>
      </c>
      <c r="J351" s="4" t="s">
        <v>10</v>
      </c>
      <c r="K351" s="1" t="s">
        <v>11</v>
      </c>
      <c r="L351" s="1" t="s">
        <v>12</v>
      </c>
    </row>
    <row r="352" spans="1:12" x14ac:dyDescent="0.2">
      <c r="A352" s="65">
        <v>39</v>
      </c>
      <c r="B352" s="66" t="s">
        <v>61</v>
      </c>
      <c r="C352" s="2" t="s">
        <v>65</v>
      </c>
      <c r="E352" s="2" t="s">
        <v>7</v>
      </c>
      <c r="F352" s="1" t="s">
        <v>9</v>
      </c>
      <c r="G352" s="70">
        <v>0.03</v>
      </c>
      <c r="H352" s="3">
        <v>4.9815270935960499E-6</v>
      </c>
      <c r="I352" s="101">
        <v>1.0266497461928921</v>
      </c>
      <c r="J352" s="4" t="s">
        <v>10</v>
      </c>
      <c r="K352" s="1" t="s">
        <v>11</v>
      </c>
      <c r="L352" s="1" t="s">
        <v>12</v>
      </c>
    </row>
    <row r="353" spans="1:12" x14ac:dyDescent="0.2">
      <c r="A353" s="65">
        <v>39</v>
      </c>
      <c r="B353" s="66" t="s">
        <v>61</v>
      </c>
      <c r="C353" s="2" t="s">
        <v>65</v>
      </c>
      <c r="E353" s="2" t="s">
        <v>7</v>
      </c>
      <c r="F353" s="1" t="s">
        <v>9</v>
      </c>
      <c r="G353" s="70">
        <v>3</v>
      </c>
      <c r="H353" s="3">
        <v>6.6071428571428502E-6</v>
      </c>
      <c r="I353" s="101">
        <v>1.3616751269035527</v>
      </c>
      <c r="J353" s="4" t="s">
        <v>10</v>
      </c>
      <c r="K353" s="1" t="s">
        <v>13</v>
      </c>
      <c r="L353" s="1" t="s">
        <v>16</v>
      </c>
    </row>
    <row r="354" spans="1:12" x14ac:dyDescent="0.2">
      <c r="A354" s="65">
        <v>39</v>
      </c>
      <c r="B354" s="66" t="s">
        <v>61</v>
      </c>
      <c r="C354" s="2" t="s">
        <v>65</v>
      </c>
      <c r="E354" s="2" t="s">
        <v>7</v>
      </c>
      <c r="F354" s="1" t="s">
        <v>9</v>
      </c>
      <c r="G354" s="70">
        <v>300</v>
      </c>
      <c r="H354" s="3">
        <v>7.6231527093595998E-6</v>
      </c>
      <c r="I354" s="101">
        <v>1.5710659898477155</v>
      </c>
      <c r="J354" s="4" t="s">
        <v>10</v>
      </c>
      <c r="K354" s="1" t="s">
        <v>13</v>
      </c>
      <c r="L354" s="1" t="s">
        <v>16</v>
      </c>
    </row>
    <row r="355" spans="1:12" x14ac:dyDescent="0.2">
      <c r="A355" s="65">
        <v>39</v>
      </c>
      <c r="B355" s="66" t="s">
        <v>62</v>
      </c>
      <c r="C355" s="2" t="s">
        <v>65</v>
      </c>
      <c r="E355" s="2" t="s">
        <v>7</v>
      </c>
      <c r="F355" s="1" t="s">
        <v>9</v>
      </c>
      <c r="G355" s="70">
        <v>0</v>
      </c>
      <c r="H355" s="3">
        <v>4.8522167487684699E-6</v>
      </c>
      <c r="I355" s="101">
        <v>1</v>
      </c>
      <c r="J355" s="4" t="s">
        <v>10</v>
      </c>
      <c r="K355" s="1" t="s">
        <v>11</v>
      </c>
      <c r="L355" s="1" t="s">
        <v>12</v>
      </c>
    </row>
    <row r="356" spans="1:12" x14ac:dyDescent="0.2">
      <c r="A356" s="65">
        <v>39</v>
      </c>
      <c r="B356" s="66" t="s">
        <v>62</v>
      </c>
      <c r="C356" s="2" t="s">
        <v>65</v>
      </c>
      <c r="E356" s="2" t="s">
        <v>7</v>
      </c>
      <c r="F356" s="1" t="s">
        <v>9</v>
      </c>
      <c r="G356" s="70">
        <v>0.03</v>
      </c>
      <c r="H356" s="3">
        <v>5.7019704433497503E-6</v>
      </c>
      <c r="I356" s="101">
        <v>1.1751269035532996</v>
      </c>
      <c r="J356" s="4" t="s">
        <v>10</v>
      </c>
      <c r="K356" s="1" t="s">
        <v>13</v>
      </c>
      <c r="L356" s="1" t="s">
        <v>12</v>
      </c>
    </row>
    <row r="357" spans="1:12" x14ac:dyDescent="0.2">
      <c r="A357" s="65">
        <v>39</v>
      </c>
      <c r="B357" s="66" t="s">
        <v>62</v>
      </c>
      <c r="C357" s="2" t="s">
        <v>65</v>
      </c>
      <c r="E357" s="2" t="s">
        <v>7</v>
      </c>
      <c r="F357" s="1" t="s">
        <v>9</v>
      </c>
      <c r="G357" s="70">
        <v>3</v>
      </c>
      <c r="H357" s="3">
        <v>1.05418719211822E-5</v>
      </c>
      <c r="I357" s="101">
        <v>2.1725888324872975</v>
      </c>
      <c r="J357" s="4" t="s">
        <v>10</v>
      </c>
      <c r="K357" s="1" t="s">
        <v>13</v>
      </c>
      <c r="L357" s="1" t="s">
        <v>14</v>
      </c>
    </row>
    <row r="358" spans="1:12" x14ac:dyDescent="0.2">
      <c r="A358" s="65">
        <v>39</v>
      </c>
      <c r="B358" s="66" t="s">
        <v>62</v>
      </c>
      <c r="C358" s="2" t="s">
        <v>65</v>
      </c>
      <c r="E358" s="2" t="s">
        <v>7</v>
      </c>
      <c r="F358" s="1" t="s">
        <v>9</v>
      </c>
      <c r="G358" s="70">
        <v>300</v>
      </c>
      <c r="H358" s="3">
        <v>1.39963054187192E-5</v>
      </c>
      <c r="I358" s="101">
        <v>2.8845177664974613</v>
      </c>
      <c r="J358" s="4" t="s">
        <v>10</v>
      </c>
      <c r="K358" s="1" t="s">
        <v>13</v>
      </c>
      <c r="L358" s="1" t="s">
        <v>14</v>
      </c>
    </row>
    <row r="359" spans="1:12" x14ac:dyDescent="0.2">
      <c r="A359" s="65">
        <v>39</v>
      </c>
      <c r="B359" s="66" t="s">
        <v>63</v>
      </c>
      <c r="C359" s="2" t="s">
        <v>65</v>
      </c>
      <c r="E359" s="2" t="s">
        <v>7</v>
      </c>
      <c r="F359" s="1" t="s">
        <v>9</v>
      </c>
      <c r="G359" s="70">
        <v>0</v>
      </c>
      <c r="H359" s="3">
        <v>4.8522167487684699E-6</v>
      </c>
      <c r="I359" s="101">
        <v>1</v>
      </c>
      <c r="J359" s="4" t="s">
        <v>10</v>
      </c>
      <c r="K359" s="1" t="s">
        <v>11</v>
      </c>
      <c r="L359" s="1" t="s">
        <v>12</v>
      </c>
    </row>
    <row r="360" spans="1:12" x14ac:dyDescent="0.2">
      <c r="A360" s="65">
        <v>39</v>
      </c>
      <c r="B360" s="66" t="s">
        <v>63</v>
      </c>
      <c r="C360" s="2" t="s">
        <v>65</v>
      </c>
      <c r="E360" s="2" t="s">
        <v>7</v>
      </c>
      <c r="F360" s="1" t="s">
        <v>9</v>
      </c>
      <c r="G360" s="70">
        <v>0.03</v>
      </c>
      <c r="H360" s="3">
        <v>6.51477832512315E-6</v>
      </c>
      <c r="I360" s="101">
        <v>1.3426395939086297</v>
      </c>
      <c r="J360" s="4" t="s">
        <v>10</v>
      </c>
      <c r="K360" s="1" t="s">
        <v>13</v>
      </c>
      <c r="L360" s="1" t="s">
        <v>12</v>
      </c>
    </row>
    <row r="361" spans="1:12" x14ac:dyDescent="0.2">
      <c r="A361" s="65">
        <v>39</v>
      </c>
      <c r="B361" s="66" t="s">
        <v>63</v>
      </c>
      <c r="C361" s="2" t="s">
        <v>65</v>
      </c>
      <c r="E361" s="2" t="s">
        <v>7</v>
      </c>
      <c r="F361" s="1" t="s">
        <v>9</v>
      </c>
      <c r="G361" s="70">
        <v>3</v>
      </c>
      <c r="H361" s="3">
        <v>1.00800492610837E-5</v>
      </c>
      <c r="I361" s="101">
        <v>2.0774111675126825</v>
      </c>
      <c r="J361" s="4" t="s">
        <v>10</v>
      </c>
      <c r="K361" s="1" t="s">
        <v>13</v>
      </c>
      <c r="L361" s="1" t="s">
        <v>14</v>
      </c>
    </row>
    <row r="362" spans="1:12" x14ac:dyDescent="0.2">
      <c r="A362" s="65">
        <v>39</v>
      </c>
      <c r="B362" s="66" t="s">
        <v>63</v>
      </c>
      <c r="C362" s="2" t="s">
        <v>65</v>
      </c>
      <c r="E362" s="2" t="s">
        <v>7</v>
      </c>
      <c r="F362" s="1" t="s">
        <v>9</v>
      </c>
      <c r="G362" s="70">
        <v>300</v>
      </c>
      <c r="H362" s="3">
        <v>1.55295566502463E-5</v>
      </c>
      <c r="I362" s="101">
        <v>3.200507614213199</v>
      </c>
      <c r="J362" s="4" t="s">
        <v>10</v>
      </c>
      <c r="K362" s="1" t="s">
        <v>13</v>
      </c>
      <c r="L362" s="1" t="s">
        <v>14</v>
      </c>
    </row>
    <row r="363" spans="1:12" x14ac:dyDescent="0.2">
      <c r="A363" s="65">
        <v>39</v>
      </c>
      <c r="B363" s="66" t="s">
        <v>64</v>
      </c>
      <c r="C363" s="2" t="s">
        <v>65</v>
      </c>
      <c r="E363" s="2" t="s">
        <v>7</v>
      </c>
      <c r="F363" s="1" t="s">
        <v>9</v>
      </c>
      <c r="G363" s="70">
        <v>0</v>
      </c>
      <c r="H363" s="3">
        <v>4.8706896551724102E-6</v>
      </c>
      <c r="I363" s="101">
        <v>1</v>
      </c>
      <c r="J363" s="4" t="s">
        <v>10</v>
      </c>
      <c r="K363" s="1" t="s">
        <v>11</v>
      </c>
      <c r="L363" s="1" t="s">
        <v>12</v>
      </c>
    </row>
    <row r="364" spans="1:12" x14ac:dyDescent="0.2">
      <c r="A364" s="65">
        <v>39</v>
      </c>
      <c r="B364" s="66" t="s">
        <v>64</v>
      </c>
      <c r="C364" s="2" t="s">
        <v>65</v>
      </c>
      <c r="E364" s="2" t="s">
        <v>7</v>
      </c>
      <c r="F364" s="1" t="s">
        <v>9</v>
      </c>
      <c r="G364" s="70">
        <v>0.03</v>
      </c>
      <c r="H364" s="3">
        <v>7.9371921182265995E-6</v>
      </c>
      <c r="I364" s="101">
        <v>1.6295828065739579</v>
      </c>
      <c r="J364" s="4" t="s">
        <v>10</v>
      </c>
      <c r="K364" s="1" t="s">
        <v>13</v>
      </c>
      <c r="L364" s="1" t="s">
        <v>16</v>
      </c>
    </row>
    <row r="365" spans="1:12" x14ac:dyDescent="0.2">
      <c r="A365" s="65">
        <v>39</v>
      </c>
      <c r="B365" s="66" t="s">
        <v>64</v>
      </c>
      <c r="C365" s="2" t="s">
        <v>65</v>
      </c>
      <c r="E365" s="2" t="s">
        <v>7</v>
      </c>
      <c r="F365" s="1" t="s">
        <v>9</v>
      </c>
      <c r="G365" s="70">
        <v>3</v>
      </c>
      <c r="H365" s="3">
        <v>9.5997536945812797E-6</v>
      </c>
      <c r="I365" s="101">
        <v>1.9709228824273084</v>
      </c>
      <c r="J365" s="4" t="s">
        <v>10</v>
      </c>
      <c r="K365" s="1" t="s">
        <v>13</v>
      </c>
      <c r="L365" s="1" t="s">
        <v>14</v>
      </c>
    </row>
    <row r="366" spans="1:12" x14ac:dyDescent="0.2">
      <c r="A366" s="65">
        <v>39</v>
      </c>
      <c r="B366" s="66" t="s">
        <v>64</v>
      </c>
      <c r="C366" s="2" t="s">
        <v>65</v>
      </c>
      <c r="E366" s="2" t="s">
        <v>7</v>
      </c>
      <c r="F366" s="1" t="s">
        <v>9</v>
      </c>
      <c r="G366" s="70">
        <v>300</v>
      </c>
      <c r="H366" s="3">
        <v>1.5621921182266001E-5</v>
      </c>
      <c r="I366" s="101">
        <v>3.2073324905183318</v>
      </c>
      <c r="J366" s="4" t="s">
        <v>10</v>
      </c>
      <c r="K366" s="1" t="s">
        <v>13</v>
      </c>
      <c r="L366" s="1" t="s">
        <v>14</v>
      </c>
    </row>
    <row r="367" spans="1:12" x14ac:dyDescent="0.2">
      <c r="A367" s="65">
        <v>53</v>
      </c>
      <c r="B367" s="66" t="s">
        <v>243</v>
      </c>
      <c r="C367" s="2" t="s">
        <v>7</v>
      </c>
      <c r="D367" s="1" t="s">
        <v>8</v>
      </c>
      <c r="E367" s="2" t="s">
        <v>7</v>
      </c>
      <c r="F367" s="1" t="s">
        <v>67</v>
      </c>
      <c r="G367" s="70">
        <v>0</v>
      </c>
      <c r="H367" s="3">
        <v>7.9380445304937004E-6</v>
      </c>
      <c r="I367" s="101">
        <v>1</v>
      </c>
      <c r="J367" s="4" t="s">
        <v>10</v>
      </c>
      <c r="K367" s="1" t="s">
        <v>11</v>
      </c>
      <c r="L367" s="1" t="s">
        <v>36</v>
      </c>
    </row>
    <row r="368" spans="1:12" x14ac:dyDescent="0.2">
      <c r="A368" s="65">
        <v>53</v>
      </c>
      <c r="B368" s="66" t="s">
        <v>243</v>
      </c>
      <c r="C368" s="2" t="s">
        <v>7</v>
      </c>
      <c r="D368" s="1" t="s">
        <v>8</v>
      </c>
      <c r="E368" s="2" t="s">
        <v>7</v>
      </c>
      <c r="F368" s="1" t="s">
        <v>67</v>
      </c>
      <c r="G368" s="70">
        <v>1.0000000000000001E-5</v>
      </c>
      <c r="H368" s="3">
        <v>1.9990319457889598E-5</v>
      </c>
      <c r="I368" s="101">
        <v>2.518292682926826</v>
      </c>
      <c r="J368" s="4" t="s">
        <v>10</v>
      </c>
      <c r="K368" s="1" t="s">
        <v>13</v>
      </c>
      <c r="L368" s="1" t="s">
        <v>36</v>
      </c>
    </row>
    <row r="369" spans="1:12" x14ac:dyDescent="0.2">
      <c r="A369" s="65">
        <v>53</v>
      </c>
      <c r="B369" s="66" t="s">
        <v>243</v>
      </c>
      <c r="C369" s="2" t="s">
        <v>7</v>
      </c>
      <c r="D369" s="1" t="s">
        <v>8</v>
      </c>
      <c r="E369" s="2" t="s">
        <v>7</v>
      </c>
      <c r="F369" s="1" t="s">
        <v>67</v>
      </c>
      <c r="G369" s="70">
        <v>1E-4</v>
      </c>
      <c r="H369" s="3">
        <v>2.5363020329138401E-5</v>
      </c>
      <c r="I369" s="101">
        <v>3.1951219512195115</v>
      </c>
      <c r="J369" s="4" t="s">
        <v>10</v>
      </c>
      <c r="K369" s="1" t="s">
        <v>13</v>
      </c>
      <c r="L369" s="1" t="s">
        <v>36</v>
      </c>
    </row>
    <row r="370" spans="1:12" x14ac:dyDescent="0.2">
      <c r="A370" s="65">
        <v>53</v>
      </c>
      <c r="B370" s="66" t="s">
        <v>243</v>
      </c>
      <c r="C370" s="2" t="s">
        <v>7</v>
      </c>
      <c r="D370" s="1" t="s">
        <v>8</v>
      </c>
      <c r="E370" s="2" t="s">
        <v>7</v>
      </c>
      <c r="F370" s="1" t="s">
        <v>67</v>
      </c>
      <c r="G370" s="70">
        <v>1E-3</v>
      </c>
      <c r="H370" s="3">
        <v>3.1171345595353303E-5</v>
      </c>
      <c r="I370" s="101">
        <v>3.926829268292682</v>
      </c>
      <c r="J370" s="4" t="s">
        <v>10</v>
      </c>
      <c r="K370" s="1" t="s">
        <v>13</v>
      </c>
      <c r="L370" s="1" t="s">
        <v>36</v>
      </c>
    </row>
    <row r="371" spans="1:12" x14ac:dyDescent="0.2">
      <c r="A371" s="65">
        <v>53</v>
      </c>
      <c r="B371" s="66" t="s">
        <v>243</v>
      </c>
      <c r="C371" s="2" t="s">
        <v>7</v>
      </c>
      <c r="D371" s="1" t="s">
        <v>8</v>
      </c>
      <c r="E371" s="2" t="s">
        <v>7</v>
      </c>
      <c r="F371" s="1" t="s">
        <v>67</v>
      </c>
      <c r="G371" s="70">
        <v>0.01</v>
      </c>
      <c r="H371" s="3">
        <v>7.9574056147144206E-5</v>
      </c>
      <c r="I371" s="101">
        <v>10.024390243902443</v>
      </c>
      <c r="J371" s="4" t="s">
        <v>10</v>
      </c>
      <c r="K371" s="1" t="s">
        <v>13</v>
      </c>
      <c r="L371" s="1" t="s">
        <v>36</v>
      </c>
    </row>
    <row r="372" spans="1:12" x14ac:dyDescent="0.2">
      <c r="A372" s="65">
        <v>53</v>
      </c>
      <c r="B372" s="66" t="s">
        <v>243</v>
      </c>
      <c r="C372" s="2" t="s">
        <v>7</v>
      </c>
      <c r="D372" s="1" t="s">
        <v>8</v>
      </c>
      <c r="E372" s="2" t="s">
        <v>7</v>
      </c>
      <c r="F372" s="1" t="s">
        <v>67</v>
      </c>
      <c r="G372" s="70">
        <v>0.1</v>
      </c>
      <c r="H372" s="3">
        <v>8.8625363020329101E-5</v>
      </c>
      <c r="I372" s="101">
        <v>11.164634146341468</v>
      </c>
      <c r="J372" s="4" t="s">
        <v>10</v>
      </c>
      <c r="K372" s="1" t="s">
        <v>13</v>
      </c>
      <c r="L372" s="1" t="s">
        <v>36</v>
      </c>
    </row>
    <row r="373" spans="1:12" x14ac:dyDescent="0.2">
      <c r="A373" s="65">
        <v>53</v>
      </c>
      <c r="B373" s="66" t="s">
        <v>243</v>
      </c>
      <c r="C373" s="2" t="s">
        <v>7</v>
      </c>
      <c r="D373" s="1" t="s">
        <v>8</v>
      </c>
      <c r="E373" s="2" t="s">
        <v>7</v>
      </c>
      <c r="F373" s="1" t="s">
        <v>67</v>
      </c>
      <c r="G373" s="70">
        <v>1</v>
      </c>
      <c r="H373" s="3">
        <v>2.4782187802516899E-5</v>
      </c>
      <c r="I373" s="101">
        <v>3.1219512195121926</v>
      </c>
      <c r="J373" s="4" t="s">
        <v>10</v>
      </c>
      <c r="K373" s="1" t="s">
        <v>13</v>
      </c>
      <c r="L373" s="1" t="s">
        <v>36</v>
      </c>
    </row>
    <row r="374" spans="1:12" x14ac:dyDescent="0.2">
      <c r="A374" s="65">
        <v>53</v>
      </c>
      <c r="B374" s="66" t="s">
        <v>243</v>
      </c>
      <c r="C374" s="2" t="s">
        <v>7</v>
      </c>
      <c r="D374" s="1" t="s">
        <v>8</v>
      </c>
      <c r="E374" s="2" t="s">
        <v>7</v>
      </c>
      <c r="F374" s="1" t="s">
        <v>67</v>
      </c>
      <c r="G374" s="70">
        <v>10</v>
      </c>
      <c r="H374" s="3">
        <v>1.5682478218780198E-5</v>
      </c>
      <c r="I374" s="101">
        <v>1.9756097560975561</v>
      </c>
      <c r="J374" s="4" t="s">
        <v>10</v>
      </c>
      <c r="K374" s="1" t="s">
        <v>13</v>
      </c>
      <c r="L374" s="1" t="s">
        <v>36</v>
      </c>
    </row>
    <row r="375" spans="1:12" x14ac:dyDescent="0.2">
      <c r="A375" s="65">
        <v>53</v>
      </c>
      <c r="B375" s="66" t="s">
        <v>243</v>
      </c>
      <c r="C375" s="2" t="s">
        <v>7</v>
      </c>
      <c r="D375" s="1" t="s">
        <v>8</v>
      </c>
      <c r="E375" s="2" t="s">
        <v>7</v>
      </c>
      <c r="F375" s="1" t="s">
        <v>67</v>
      </c>
      <c r="G375" s="70">
        <v>100</v>
      </c>
      <c r="H375" s="3">
        <v>0</v>
      </c>
      <c r="I375" s="101">
        <v>0</v>
      </c>
      <c r="J375" s="4" t="s">
        <v>10</v>
      </c>
      <c r="K375" s="1" t="s">
        <v>15</v>
      </c>
      <c r="L375" s="1" t="s">
        <v>36</v>
      </c>
    </row>
    <row r="376" spans="1:12" x14ac:dyDescent="0.2">
      <c r="A376" s="65">
        <v>53</v>
      </c>
      <c r="B376" s="66" t="s">
        <v>253</v>
      </c>
      <c r="C376" s="2" t="s">
        <v>7</v>
      </c>
      <c r="D376" s="1" t="s">
        <v>8</v>
      </c>
      <c r="E376" s="2" t="s">
        <v>7</v>
      </c>
      <c r="F376" s="1" t="s">
        <v>67</v>
      </c>
      <c r="G376" s="70">
        <v>0</v>
      </c>
      <c r="H376" s="3">
        <v>3.48499515972894E-6</v>
      </c>
      <c r="I376" s="101">
        <v>1</v>
      </c>
      <c r="J376" s="4" t="s">
        <v>10</v>
      </c>
      <c r="K376" s="1" t="s">
        <v>11</v>
      </c>
      <c r="L376" s="1" t="s">
        <v>36</v>
      </c>
    </row>
    <row r="377" spans="1:12" x14ac:dyDescent="0.2">
      <c r="A377" s="65">
        <v>53</v>
      </c>
      <c r="B377" s="66" t="s">
        <v>253</v>
      </c>
      <c r="C377" s="2" t="s">
        <v>7</v>
      </c>
      <c r="D377" s="1" t="s">
        <v>8</v>
      </c>
      <c r="E377" s="2" t="s">
        <v>7</v>
      </c>
      <c r="F377" s="1" t="s">
        <v>67</v>
      </c>
      <c r="G377" s="70">
        <v>1.0000000000000001E-5</v>
      </c>
      <c r="H377" s="3">
        <v>3.72700871248789E-6</v>
      </c>
      <c r="I377" s="101">
        <v>1.0694444444444433</v>
      </c>
      <c r="J377" s="4" t="s">
        <v>10</v>
      </c>
      <c r="K377" s="1" t="s">
        <v>13</v>
      </c>
      <c r="L377" s="1" t="s">
        <v>36</v>
      </c>
    </row>
    <row r="378" spans="1:12" x14ac:dyDescent="0.2">
      <c r="A378" s="65">
        <v>53</v>
      </c>
      <c r="B378" s="66" t="s">
        <v>253</v>
      </c>
      <c r="C378" s="2" t="s">
        <v>7</v>
      </c>
      <c r="D378" s="1" t="s">
        <v>8</v>
      </c>
      <c r="E378" s="2" t="s">
        <v>7</v>
      </c>
      <c r="F378" s="1" t="s">
        <v>67</v>
      </c>
      <c r="G378" s="70">
        <v>1E-4</v>
      </c>
      <c r="H378" s="3">
        <v>7.5508228460793804E-6</v>
      </c>
      <c r="I378" s="101">
        <v>2.1666666666666696</v>
      </c>
      <c r="J378" s="4" t="s">
        <v>10</v>
      </c>
      <c r="K378" s="1" t="s">
        <v>13</v>
      </c>
      <c r="L378" s="1" t="s">
        <v>36</v>
      </c>
    </row>
    <row r="379" spans="1:12" x14ac:dyDescent="0.2">
      <c r="A379" s="65">
        <v>53</v>
      </c>
      <c r="B379" s="66" t="s">
        <v>253</v>
      </c>
      <c r="C379" s="2" t="s">
        <v>7</v>
      </c>
      <c r="D379" s="1" t="s">
        <v>8</v>
      </c>
      <c r="E379" s="2" t="s">
        <v>7</v>
      </c>
      <c r="F379" s="1" t="s">
        <v>67</v>
      </c>
      <c r="G379" s="70">
        <v>1E-3</v>
      </c>
      <c r="H379" s="3">
        <v>9.9225556631171297E-6</v>
      </c>
      <c r="I379" s="101">
        <v>2.8472222222222245</v>
      </c>
      <c r="J379" s="4" t="s">
        <v>10</v>
      </c>
      <c r="K379" s="1" t="s">
        <v>13</v>
      </c>
      <c r="L379" s="1" t="s">
        <v>36</v>
      </c>
    </row>
    <row r="380" spans="1:12" x14ac:dyDescent="0.2">
      <c r="A380" s="65">
        <v>53</v>
      </c>
      <c r="B380" s="66" t="s">
        <v>253</v>
      </c>
      <c r="C380" s="2" t="s">
        <v>7</v>
      </c>
      <c r="D380" s="1" t="s">
        <v>8</v>
      </c>
      <c r="E380" s="2" t="s">
        <v>7</v>
      </c>
      <c r="F380" s="1" t="s">
        <v>67</v>
      </c>
      <c r="G380" s="70">
        <v>0.01</v>
      </c>
      <c r="H380" s="3">
        <v>1.2681510164569201E-5</v>
      </c>
      <c r="I380" s="101">
        <v>3.6388888888888897</v>
      </c>
      <c r="J380" s="4" t="s">
        <v>10</v>
      </c>
      <c r="K380" s="1" t="s">
        <v>13</v>
      </c>
      <c r="L380" s="1" t="s">
        <v>36</v>
      </c>
    </row>
    <row r="381" spans="1:12" x14ac:dyDescent="0.2">
      <c r="A381" s="65">
        <v>53</v>
      </c>
      <c r="B381" s="66" t="s">
        <v>253</v>
      </c>
      <c r="C381" s="2" t="s">
        <v>7</v>
      </c>
      <c r="D381" s="1" t="s">
        <v>8</v>
      </c>
      <c r="E381" s="2" t="s">
        <v>7</v>
      </c>
      <c r="F381" s="1" t="s">
        <v>67</v>
      </c>
      <c r="G381" s="70">
        <v>0.1</v>
      </c>
      <c r="H381" s="3">
        <v>6.3407550822846004E-6</v>
      </c>
      <c r="I381" s="101">
        <v>1.8194444444444449</v>
      </c>
      <c r="J381" s="4" t="s">
        <v>10</v>
      </c>
      <c r="K381" s="1" t="s">
        <v>13</v>
      </c>
      <c r="L381" s="1" t="s">
        <v>36</v>
      </c>
    </row>
    <row r="382" spans="1:12" x14ac:dyDescent="0.2">
      <c r="A382" s="65">
        <v>53</v>
      </c>
      <c r="B382" s="66" t="s">
        <v>253</v>
      </c>
      <c r="C382" s="2" t="s">
        <v>7</v>
      </c>
      <c r="D382" s="1" t="s">
        <v>8</v>
      </c>
      <c r="E382" s="2" t="s">
        <v>7</v>
      </c>
      <c r="F382" s="1" t="s">
        <v>67</v>
      </c>
      <c r="G382" s="70">
        <v>1</v>
      </c>
      <c r="H382" s="3">
        <v>1.74249757986448E-6</v>
      </c>
      <c r="I382" s="101">
        <v>0.50000000000000289</v>
      </c>
      <c r="J382" s="4" t="s">
        <v>10</v>
      </c>
      <c r="K382" s="1" t="s">
        <v>15</v>
      </c>
      <c r="L382" s="1" t="s">
        <v>36</v>
      </c>
    </row>
    <row r="383" spans="1:12" x14ac:dyDescent="0.2">
      <c r="A383" s="65">
        <v>53</v>
      </c>
      <c r="B383" s="66" t="s">
        <v>253</v>
      </c>
      <c r="C383" s="2" t="s">
        <v>7</v>
      </c>
      <c r="D383" s="1" t="s">
        <v>8</v>
      </c>
      <c r="E383" s="2" t="s">
        <v>7</v>
      </c>
      <c r="F383" s="1" t="s">
        <v>67</v>
      </c>
      <c r="G383" s="70">
        <v>10</v>
      </c>
      <c r="H383" s="3">
        <v>1.83930300096806E-6</v>
      </c>
      <c r="I383" s="101">
        <v>0.52777777777778012</v>
      </c>
      <c r="J383" s="4" t="s">
        <v>10</v>
      </c>
      <c r="K383" s="1" t="s">
        <v>15</v>
      </c>
      <c r="L383" s="1" t="s">
        <v>36</v>
      </c>
    </row>
    <row r="384" spans="1:12" x14ac:dyDescent="0.2">
      <c r="A384" s="65">
        <v>53</v>
      </c>
      <c r="B384" s="66" t="s">
        <v>253</v>
      </c>
      <c r="C384" s="2" t="s">
        <v>7</v>
      </c>
      <c r="D384" s="1" t="s">
        <v>8</v>
      </c>
      <c r="E384" s="2" t="s">
        <v>7</v>
      </c>
      <c r="F384" s="1" t="s">
        <v>67</v>
      </c>
      <c r="G384" s="70">
        <v>100</v>
      </c>
      <c r="H384" s="3">
        <v>0</v>
      </c>
      <c r="I384" s="101">
        <v>0</v>
      </c>
      <c r="J384" s="4" t="s">
        <v>10</v>
      </c>
      <c r="K384" s="1" t="s">
        <v>15</v>
      </c>
      <c r="L384" s="1" t="s">
        <v>36</v>
      </c>
    </row>
    <row r="385" spans="1:12" x14ac:dyDescent="0.2">
      <c r="A385" s="65">
        <v>53</v>
      </c>
      <c r="B385" s="66" t="s">
        <v>254</v>
      </c>
      <c r="C385" s="2" t="s">
        <v>7</v>
      </c>
      <c r="D385" s="1" t="s">
        <v>8</v>
      </c>
      <c r="E385" s="2" t="s">
        <v>7</v>
      </c>
      <c r="F385" s="1" t="s">
        <v>67</v>
      </c>
      <c r="G385" s="70">
        <v>0</v>
      </c>
      <c r="H385" s="3">
        <v>5.4211035818005798E-6</v>
      </c>
      <c r="I385" s="101">
        <v>1</v>
      </c>
      <c r="J385" s="4" t="s">
        <v>10</v>
      </c>
      <c r="K385" s="1" t="s">
        <v>11</v>
      </c>
      <c r="L385" s="1" t="s">
        <v>36</v>
      </c>
    </row>
    <row r="386" spans="1:12" x14ac:dyDescent="0.2">
      <c r="A386" s="65">
        <v>53</v>
      </c>
      <c r="B386" s="66" t="s">
        <v>254</v>
      </c>
      <c r="C386" s="2" t="s">
        <v>7</v>
      </c>
      <c r="D386" s="1" t="s">
        <v>8</v>
      </c>
      <c r="E386" s="2" t="s">
        <v>7</v>
      </c>
      <c r="F386" s="1" t="s">
        <v>67</v>
      </c>
      <c r="G386" s="70">
        <v>1.0000000000000001E-5</v>
      </c>
      <c r="H386" s="3">
        <v>8.0348499515972795E-6</v>
      </c>
      <c r="I386" s="101">
        <v>1.4821428571428557</v>
      </c>
      <c r="J386" s="4" t="s">
        <v>10</v>
      </c>
      <c r="K386" s="1" t="s">
        <v>13</v>
      </c>
      <c r="L386" s="1" t="s">
        <v>36</v>
      </c>
    </row>
    <row r="387" spans="1:12" x14ac:dyDescent="0.2">
      <c r="A387" s="65">
        <v>53</v>
      </c>
      <c r="B387" s="66" t="s">
        <v>254</v>
      </c>
      <c r="C387" s="2" t="s">
        <v>7</v>
      </c>
      <c r="D387" s="1" t="s">
        <v>8</v>
      </c>
      <c r="E387" s="2" t="s">
        <v>7</v>
      </c>
      <c r="F387" s="1" t="s">
        <v>67</v>
      </c>
      <c r="G387" s="70">
        <v>1E-4</v>
      </c>
      <c r="H387" s="3">
        <v>1.4617618586640801E-5</v>
      </c>
      <c r="I387" s="101">
        <v>2.6964285714285623</v>
      </c>
      <c r="J387" s="4" t="s">
        <v>10</v>
      </c>
      <c r="K387" s="1" t="s">
        <v>13</v>
      </c>
      <c r="L387" s="1" t="s">
        <v>36</v>
      </c>
    </row>
    <row r="388" spans="1:12" x14ac:dyDescent="0.2">
      <c r="A388" s="65">
        <v>53</v>
      </c>
      <c r="B388" s="66" t="s">
        <v>254</v>
      </c>
      <c r="C388" s="2" t="s">
        <v>7</v>
      </c>
      <c r="D388" s="1" t="s">
        <v>8</v>
      </c>
      <c r="E388" s="2" t="s">
        <v>7</v>
      </c>
      <c r="F388" s="1" t="s">
        <v>67</v>
      </c>
      <c r="G388" s="70">
        <v>1E-3</v>
      </c>
      <c r="H388" s="3">
        <v>1.8296224588576902E-5</v>
      </c>
      <c r="I388" s="101">
        <v>3.3749999999999898</v>
      </c>
      <c r="J388" s="4" t="s">
        <v>10</v>
      </c>
      <c r="K388" s="1" t="s">
        <v>13</v>
      </c>
      <c r="L388" s="1" t="s">
        <v>36</v>
      </c>
    </row>
    <row r="389" spans="1:12" x14ac:dyDescent="0.2">
      <c r="A389" s="65">
        <v>53</v>
      </c>
      <c r="B389" s="66" t="s">
        <v>254</v>
      </c>
      <c r="C389" s="2" t="s">
        <v>7</v>
      </c>
      <c r="D389" s="1" t="s">
        <v>8</v>
      </c>
      <c r="E389" s="2" t="s">
        <v>7</v>
      </c>
      <c r="F389" s="1" t="s">
        <v>67</v>
      </c>
      <c r="G389" s="70">
        <v>0.01</v>
      </c>
      <c r="H389" s="3">
        <v>2.82671829622458E-5</v>
      </c>
      <c r="I389" s="101">
        <v>5.2142857142856993</v>
      </c>
      <c r="J389" s="4" t="s">
        <v>10</v>
      </c>
      <c r="K389" s="1" t="s">
        <v>13</v>
      </c>
      <c r="L389" s="1" t="s">
        <v>36</v>
      </c>
    </row>
    <row r="390" spans="1:12" x14ac:dyDescent="0.2">
      <c r="A390" s="65">
        <v>53</v>
      </c>
      <c r="B390" s="66" t="s">
        <v>254</v>
      </c>
      <c r="C390" s="2" t="s">
        <v>7</v>
      </c>
      <c r="D390" s="1" t="s">
        <v>8</v>
      </c>
      <c r="E390" s="2" t="s">
        <v>7</v>
      </c>
      <c r="F390" s="1" t="s">
        <v>67</v>
      </c>
      <c r="G390" s="70">
        <v>0.1</v>
      </c>
      <c r="H390" s="3">
        <v>7.2120038722168398E-6</v>
      </c>
      <c r="I390" s="101">
        <v>1.3303571428571423</v>
      </c>
      <c r="J390" s="4" t="s">
        <v>10</v>
      </c>
      <c r="K390" s="1" t="s">
        <v>13</v>
      </c>
      <c r="L390" s="1" t="s">
        <v>36</v>
      </c>
    </row>
    <row r="391" spans="1:12" x14ac:dyDescent="0.2">
      <c r="A391" s="65">
        <v>53</v>
      </c>
      <c r="B391" s="66" t="s">
        <v>254</v>
      </c>
      <c r="C391" s="2" t="s">
        <v>7</v>
      </c>
      <c r="D391" s="1" t="s">
        <v>8</v>
      </c>
      <c r="E391" s="2" t="s">
        <v>7</v>
      </c>
      <c r="F391" s="1" t="s">
        <v>67</v>
      </c>
      <c r="G391" s="70">
        <v>1</v>
      </c>
      <c r="H391" s="3">
        <v>5.3242981606969896E-6</v>
      </c>
      <c r="I391" s="101">
        <v>0.98214285714285565</v>
      </c>
      <c r="J391" s="4" t="s">
        <v>10</v>
      </c>
      <c r="K391" s="1" t="s">
        <v>11</v>
      </c>
      <c r="L391" s="1" t="s">
        <v>36</v>
      </c>
    </row>
    <row r="392" spans="1:12" x14ac:dyDescent="0.2">
      <c r="A392" s="65">
        <v>53</v>
      </c>
      <c r="B392" s="66" t="s">
        <v>254</v>
      </c>
      <c r="C392" s="2" t="s">
        <v>7</v>
      </c>
      <c r="D392" s="1" t="s">
        <v>8</v>
      </c>
      <c r="E392" s="2" t="s">
        <v>7</v>
      </c>
      <c r="F392" s="1" t="s">
        <v>67</v>
      </c>
      <c r="G392" s="70">
        <v>10</v>
      </c>
      <c r="H392" s="3">
        <v>1.74249757986448E-6</v>
      </c>
      <c r="I392" s="101">
        <v>0.3214285714285729</v>
      </c>
      <c r="J392" s="4" t="s">
        <v>10</v>
      </c>
      <c r="K392" s="1" t="s">
        <v>15</v>
      </c>
      <c r="L392" s="1" t="s">
        <v>36</v>
      </c>
    </row>
    <row r="393" spans="1:12" x14ac:dyDescent="0.2">
      <c r="A393" s="65">
        <v>53</v>
      </c>
      <c r="B393" s="66" t="s">
        <v>254</v>
      </c>
      <c r="C393" s="2" t="s">
        <v>7</v>
      </c>
      <c r="D393" s="1" t="s">
        <v>8</v>
      </c>
      <c r="E393" s="2" t="s">
        <v>7</v>
      </c>
      <c r="F393" s="1" t="s">
        <v>67</v>
      </c>
      <c r="G393" s="70">
        <v>100</v>
      </c>
      <c r="H393" s="3">
        <v>0</v>
      </c>
      <c r="I393" s="101">
        <v>0</v>
      </c>
      <c r="J393" s="4" t="s">
        <v>10</v>
      </c>
      <c r="K393" s="1" t="s">
        <v>15</v>
      </c>
      <c r="L393" s="1" t="s">
        <v>36</v>
      </c>
    </row>
    <row r="394" spans="1:12" x14ac:dyDescent="0.2">
      <c r="A394" s="65">
        <v>53</v>
      </c>
      <c r="B394" s="66" t="s">
        <v>255</v>
      </c>
      <c r="C394" s="2" t="s">
        <v>7</v>
      </c>
      <c r="D394" s="1" t="s">
        <v>8</v>
      </c>
      <c r="E394" s="2" t="s">
        <v>7</v>
      </c>
      <c r="F394" s="1" t="s">
        <v>67</v>
      </c>
      <c r="G394" s="70">
        <v>0</v>
      </c>
      <c r="H394" s="3">
        <v>1.3552758954501299E-6</v>
      </c>
      <c r="I394" s="101">
        <v>1</v>
      </c>
      <c r="J394" s="4" t="s">
        <v>10</v>
      </c>
      <c r="K394" s="1" t="s">
        <v>11</v>
      </c>
      <c r="L394" s="1" t="s">
        <v>36</v>
      </c>
    </row>
    <row r="395" spans="1:12" x14ac:dyDescent="0.2">
      <c r="A395" s="65">
        <v>53</v>
      </c>
      <c r="B395" s="66" t="s">
        <v>255</v>
      </c>
      <c r="C395" s="2" t="s">
        <v>7</v>
      </c>
      <c r="D395" s="1" t="s">
        <v>8</v>
      </c>
      <c r="E395" s="2" t="s">
        <v>7</v>
      </c>
      <c r="F395" s="1" t="s">
        <v>67</v>
      </c>
      <c r="G395" s="70">
        <v>1.0000000000000001E-5</v>
      </c>
      <c r="H395" s="3">
        <v>2.9041626331074499E-6</v>
      </c>
      <c r="I395" s="101">
        <v>2.1428571428571641</v>
      </c>
      <c r="J395" s="4" t="s">
        <v>10</v>
      </c>
      <c r="K395" s="1" t="s">
        <v>13</v>
      </c>
      <c r="L395" s="1" t="s">
        <v>36</v>
      </c>
    </row>
    <row r="396" spans="1:12" x14ac:dyDescent="0.2">
      <c r="A396" s="65">
        <v>53</v>
      </c>
      <c r="B396" s="66" t="s">
        <v>255</v>
      </c>
      <c r="C396" s="2" t="s">
        <v>7</v>
      </c>
      <c r="D396" s="1" t="s">
        <v>8</v>
      </c>
      <c r="E396" s="2" t="s">
        <v>7</v>
      </c>
      <c r="F396" s="1" t="s">
        <v>67</v>
      </c>
      <c r="G396" s="70">
        <v>1E-4</v>
      </c>
      <c r="H396" s="3">
        <v>4.0658276863504302E-6</v>
      </c>
      <c r="I396" s="101">
        <v>3.0000000000000298</v>
      </c>
      <c r="J396" s="4" t="s">
        <v>10</v>
      </c>
      <c r="K396" s="1" t="s">
        <v>13</v>
      </c>
      <c r="L396" s="1" t="s">
        <v>36</v>
      </c>
    </row>
    <row r="397" spans="1:12" x14ac:dyDescent="0.2">
      <c r="A397" s="65">
        <v>53</v>
      </c>
      <c r="B397" s="66" t="s">
        <v>255</v>
      </c>
      <c r="C397" s="2" t="s">
        <v>7</v>
      </c>
      <c r="D397" s="1" t="s">
        <v>8</v>
      </c>
      <c r="E397" s="2" t="s">
        <v>7</v>
      </c>
      <c r="F397" s="1" t="s">
        <v>67</v>
      </c>
      <c r="G397" s="70">
        <v>1E-3</v>
      </c>
      <c r="H397" s="3">
        <v>4.6950629235237099E-6</v>
      </c>
      <c r="I397" s="101">
        <v>3.4642857142857477</v>
      </c>
      <c r="J397" s="4" t="s">
        <v>10</v>
      </c>
      <c r="K397" s="1" t="s">
        <v>13</v>
      </c>
      <c r="L397" s="1" t="s">
        <v>36</v>
      </c>
    </row>
    <row r="398" spans="1:12" x14ac:dyDescent="0.2">
      <c r="A398" s="65">
        <v>53</v>
      </c>
      <c r="B398" s="66" t="s">
        <v>255</v>
      </c>
      <c r="C398" s="2" t="s">
        <v>7</v>
      </c>
      <c r="D398" s="1" t="s">
        <v>8</v>
      </c>
      <c r="E398" s="2" t="s">
        <v>7</v>
      </c>
      <c r="F398" s="1" t="s">
        <v>67</v>
      </c>
      <c r="G398" s="70">
        <v>0.01</v>
      </c>
      <c r="H398" s="3">
        <v>5.8083252662148998E-6</v>
      </c>
      <c r="I398" s="101">
        <v>4.2857142857143282</v>
      </c>
      <c r="J398" s="4" t="s">
        <v>10</v>
      </c>
      <c r="K398" s="1" t="s">
        <v>13</v>
      </c>
      <c r="L398" s="1" t="s">
        <v>36</v>
      </c>
    </row>
    <row r="399" spans="1:12" x14ac:dyDescent="0.2">
      <c r="A399" s="65">
        <v>53</v>
      </c>
      <c r="B399" s="66" t="s">
        <v>255</v>
      </c>
      <c r="C399" s="2" t="s">
        <v>7</v>
      </c>
      <c r="D399" s="1" t="s">
        <v>8</v>
      </c>
      <c r="E399" s="2" t="s">
        <v>7</v>
      </c>
      <c r="F399" s="1" t="s">
        <v>67</v>
      </c>
      <c r="G399" s="70">
        <v>0.1</v>
      </c>
      <c r="H399" s="3">
        <v>1.1035818005808299E-5</v>
      </c>
      <c r="I399" s="101">
        <v>8.1428571428572152</v>
      </c>
      <c r="J399" s="4" t="s">
        <v>10</v>
      </c>
      <c r="K399" s="1" t="s">
        <v>13</v>
      </c>
      <c r="L399" s="1" t="s">
        <v>36</v>
      </c>
    </row>
    <row r="400" spans="1:12" x14ac:dyDescent="0.2">
      <c r="A400" s="65">
        <v>53</v>
      </c>
      <c r="B400" s="66" t="s">
        <v>255</v>
      </c>
      <c r="C400" s="2" t="s">
        <v>7</v>
      </c>
      <c r="D400" s="1" t="s">
        <v>8</v>
      </c>
      <c r="E400" s="2" t="s">
        <v>7</v>
      </c>
      <c r="F400" s="1" t="s">
        <v>67</v>
      </c>
      <c r="G400" s="70">
        <v>1</v>
      </c>
      <c r="H400" s="3">
        <v>4.4046466602129598E-6</v>
      </c>
      <c r="I400" s="101">
        <v>3.2500000000000275</v>
      </c>
      <c r="J400" s="4" t="s">
        <v>10</v>
      </c>
      <c r="K400" s="1" t="s">
        <v>13</v>
      </c>
      <c r="L400" s="1" t="s">
        <v>36</v>
      </c>
    </row>
    <row r="401" spans="1:12" x14ac:dyDescent="0.2">
      <c r="A401" s="65">
        <v>53</v>
      </c>
      <c r="B401" s="66" t="s">
        <v>255</v>
      </c>
      <c r="C401" s="2" t="s">
        <v>7</v>
      </c>
      <c r="D401" s="1" t="s">
        <v>8</v>
      </c>
      <c r="E401" s="2" t="s">
        <v>7</v>
      </c>
      <c r="F401" s="1" t="s">
        <v>67</v>
      </c>
      <c r="G401" s="70">
        <v>10</v>
      </c>
      <c r="H401" s="3">
        <v>1.35527589545015E-6</v>
      </c>
      <c r="I401" s="101">
        <v>1.0000000000000149</v>
      </c>
      <c r="J401" s="4" t="s">
        <v>10</v>
      </c>
      <c r="K401" s="1" t="s">
        <v>11</v>
      </c>
      <c r="L401" s="1" t="s">
        <v>36</v>
      </c>
    </row>
    <row r="402" spans="1:12" x14ac:dyDescent="0.2">
      <c r="A402" s="65">
        <v>53</v>
      </c>
      <c r="B402" s="66" t="s">
        <v>255</v>
      </c>
      <c r="C402" s="2" t="s">
        <v>7</v>
      </c>
      <c r="D402" s="1" t="s">
        <v>8</v>
      </c>
      <c r="E402" s="2" t="s">
        <v>7</v>
      </c>
      <c r="F402" s="1" t="s">
        <v>67</v>
      </c>
      <c r="G402" s="70">
        <v>100</v>
      </c>
      <c r="H402" s="3">
        <v>0</v>
      </c>
      <c r="I402" s="101">
        <v>0</v>
      </c>
      <c r="J402" s="4" t="s">
        <v>10</v>
      </c>
      <c r="K402" s="1" t="s">
        <v>15</v>
      </c>
      <c r="L402" s="1" t="s">
        <v>36</v>
      </c>
    </row>
    <row r="403" spans="1:12" x14ac:dyDescent="0.2">
      <c r="A403" s="65">
        <v>53</v>
      </c>
      <c r="B403" s="66" t="s">
        <v>400</v>
      </c>
      <c r="C403" s="2" t="s">
        <v>7</v>
      </c>
      <c r="D403" s="1" t="s">
        <v>8</v>
      </c>
      <c r="E403" s="2" t="s">
        <v>7</v>
      </c>
      <c r="F403" s="1" t="s">
        <v>67</v>
      </c>
      <c r="G403" s="70">
        <v>0</v>
      </c>
      <c r="H403" s="3">
        <v>9.39012584704743E-6</v>
      </c>
      <c r="I403" s="101">
        <v>1</v>
      </c>
      <c r="J403" s="4" t="s">
        <v>10</v>
      </c>
      <c r="K403" s="1" t="s">
        <v>11</v>
      </c>
      <c r="L403" s="1" t="s">
        <v>36</v>
      </c>
    </row>
    <row r="404" spans="1:12" x14ac:dyDescent="0.2">
      <c r="A404" s="65">
        <v>53</v>
      </c>
      <c r="B404" s="66" t="s">
        <v>400</v>
      </c>
      <c r="C404" s="2" t="s">
        <v>7</v>
      </c>
      <c r="D404" s="1" t="s">
        <v>8</v>
      </c>
      <c r="E404" s="2" t="s">
        <v>7</v>
      </c>
      <c r="F404" s="1" t="s">
        <v>67</v>
      </c>
      <c r="G404" s="70">
        <v>1.0000000000000001E-5</v>
      </c>
      <c r="H404" s="3">
        <v>1.33107454017425E-5</v>
      </c>
      <c r="I404" s="101">
        <v>1.4175257731958772</v>
      </c>
      <c r="J404" s="4" t="s">
        <v>10</v>
      </c>
      <c r="K404" s="1" t="s">
        <v>13</v>
      </c>
      <c r="L404" s="1" t="s">
        <v>36</v>
      </c>
    </row>
    <row r="405" spans="1:12" x14ac:dyDescent="0.2">
      <c r="A405" s="65">
        <v>53</v>
      </c>
      <c r="B405" s="66" t="s">
        <v>400</v>
      </c>
      <c r="C405" s="2" t="s">
        <v>7</v>
      </c>
      <c r="D405" s="1" t="s">
        <v>8</v>
      </c>
      <c r="E405" s="2" t="s">
        <v>7</v>
      </c>
      <c r="F405" s="1" t="s">
        <v>67</v>
      </c>
      <c r="G405" s="70">
        <v>1E-4</v>
      </c>
      <c r="H405" s="3">
        <v>2.3765730880929299E-5</v>
      </c>
      <c r="I405" s="101">
        <v>2.5309278350515441</v>
      </c>
      <c r="J405" s="4" t="s">
        <v>10</v>
      </c>
      <c r="K405" s="1" t="s">
        <v>13</v>
      </c>
      <c r="L405" s="1" t="s">
        <v>36</v>
      </c>
    </row>
    <row r="406" spans="1:12" x14ac:dyDescent="0.2">
      <c r="A406" s="65">
        <v>53</v>
      </c>
      <c r="B406" s="66" t="s">
        <v>400</v>
      </c>
      <c r="C406" s="2" t="s">
        <v>7</v>
      </c>
      <c r="D406" s="1" t="s">
        <v>8</v>
      </c>
      <c r="E406" s="2" t="s">
        <v>7</v>
      </c>
      <c r="F406" s="1" t="s">
        <v>67</v>
      </c>
      <c r="G406" s="70">
        <v>1E-3</v>
      </c>
      <c r="H406" s="3">
        <v>3.38818973862536E-5</v>
      </c>
      <c r="I406" s="101">
        <v>3.6082474226804111</v>
      </c>
      <c r="J406" s="4" t="s">
        <v>10</v>
      </c>
      <c r="K406" s="1" t="s">
        <v>13</v>
      </c>
      <c r="L406" s="1" t="s">
        <v>36</v>
      </c>
    </row>
    <row r="407" spans="1:12" x14ac:dyDescent="0.2">
      <c r="A407" s="65">
        <v>53</v>
      </c>
      <c r="B407" s="66" t="s">
        <v>400</v>
      </c>
      <c r="C407" s="2" t="s">
        <v>7</v>
      </c>
      <c r="D407" s="1" t="s">
        <v>8</v>
      </c>
      <c r="E407" s="2" t="s">
        <v>7</v>
      </c>
      <c r="F407" s="1" t="s">
        <v>67</v>
      </c>
      <c r="G407" s="70">
        <v>0.01</v>
      </c>
      <c r="H407" s="3">
        <v>4.9903194578896398E-5</v>
      </c>
      <c r="I407" s="101">
        <v>5.3144329896907223</v>
      </c>
      <c r="J407" s="4" t="s">
        <v>10</v>
      </c>
      <c r="K407" s="1" t="s">
        <v>13</v>
      </c>
      <c r="L407" s="1" t="s">
        <v>36</v>
      </c>
    </row>
    <row r="408" spans="1:12" x14ac:dyDescent="0.2">
      <c r="A408" s="65">
        <v>53</v>
      </c>
      <c r="B408" s="66" t="s">
        <v>400</v>
      </c>
      <c r="C408" s="2" t="s">
        <v>7</v>
      </c>
      <c r="D408" s="1" t="s">
        <v>8</v>
      </c>
      <c r="E408" s="2" t="s">
        <v>7</v>
      </c>
      <c r="F408" s="1" t="s">
        <v>67</v>
      </c>
      <c r="G408" s="70">
        <v>0.1</v>
      </c>
      <c r="H408" s="3">
        <v>7.0667957405614701E-5</v>
      </c>
      <c r="I408" s="101">
        <v>7.5257731958762912</v>
      </c>
      <c r="J408" s="4" t="s">
        <v>10</v>
      </c>
      <c r="K408" s="1" t="s">
        <v>13</v>
      </c>
      <c r="L408" s="1" t="s">
        <v>36</v>
      </c>
    </row>
    <row r="409" spans="1:12" x14ac:dyDescent="0.2">
      <c r="A409" s="65">
        <v>53</v>
      </c>
      <c r="B409" s="66" t="s">
        <v>400</v>
      </c>
      <c r="C409" s="2" t="s">
        <v>7</v>
      </c>
      <c r="D409" s="1" t="s">
        <v>8</v>
      </c>
      <c r="E409" s="2" t="s">
        <v>7</v>
      </c>
      <c r="F409" s="1" t="s">
        <v>67</v>
      </c>
      <c r="G409" s="70">
        <v>1</v>
      </c>
      <c r="H409" s="3">
        <v>4.1432720232333001E-5</v>
      </c>
      <c r="I409" s="101">
        <v>4.4123711340206198</v>
      </c>
      <c r="J409" s="4" t="s">
        <v>10</v>
      </c>
      <c r="K409" s="1" t="s">
        <v>13</v>
      </c>
      <c r="L409" s="1" t="s">
        <v>36</v>
      </c>
    </row>
    <row r="410" spans="1:12" x14ac:dyDescent="0.2">
      <c r="A410" s="65">
        <v>53</v>
      </c>
      <c r="B410" s="66" t="s">
        <v>400</v>
      </c>
      <c r="C410" s="2" t="s">
        <v>7</v>
      </c>
      <c r="D410" s="1" t="s">
        <v>8</v>
      </c>
      <c r="E410" s="2" t="s">
        <v>7</v>
      </c>
      <c r="F410" s="1" t="s">
        <v>67</v>
      </c>
      <c r="G410" s="70">
        <v>10</v>
      </c>
      <c r="H410" s="3">
        <v>7.7444336882865404E-6</v>
      </c>
      <c r="I410" s="101">
        <v>0.82474226804123718</v>
      </c>
      <c r="J410" s="4" t="s">
        <v>10</v>
      </c>
      <c r="K410" s="1" t="s">
        <v>15</v>
      </c>
      <c r="L410" s="1" t="s">
        <v>36</v>
      </c>
    </row>
    <row r="411" spans="1:12" x14ac:dyDescent="0.2">
      <c r="A411" s="65">
        <v>53</v>
      </c>
      <c r="B411" s="66" t="s">
        <v>400</v>
      </c>
      <c r="C411" s="2" t="s">
        <v>7</v>
      </c>
      <c r="D411" s="1" t="s">
        <v>8</v>
      </c>
      <c r="E411" s="2" t="s">
        <v>7</v>
      </c>
      <c r="F411" s="1" t="s">
        <v>67</v>
      </c>
      <c r="G411" s="70">
        <v>100</v>
      </c>
      <c r="H411" s="3">
        <v>0</v>
      </c>
      <c r="I411" s="101">
        <v>0</v>
      </c>
      <c r="J411" s="4" t="s">
        <v>10</v>
      </c>
      <c r="K411" s="1" t="s">
        <v>15</v>
      </c>
      <c r="L411" s="1" t="s">
        <v>36</v>
      </c>
    </row>
    <row r="412" spans="1:12" x14ac:dyDescent="0.2">
      <c r="A412" s="65">
        <v>26</v>
      </c>
      <c r="B412" s="66" t="s">
        <v>44</v>
      </c>
      <c r="C412" s="2" t="s">
        <v>68</v>
      </c>
      <c r="E412" s="2" t="s">
        <v>7</v>
      </c>
      <c r="F412" s="1" t="s">
        <v>69</v>
      </c>
      <c r="G412" s="70">
        <v>0</v>
      </c>
      <c r="H412" s="3">
        <v>2.3043149129447299E-5</v>
      </c>
      <c r="I412" s="101">
        <v>1</v>
      </c>
      <c r="J412" s="4" t="s">
        <v>10</v>
      </c>
      <c r="K412" s="1" t="s">
        <v>11</v>
      </c>
      <c r="L412" s="1" t="s">
        <v>12</v>
      </c>
    </row>
    <row r="413" spans="1:12" x14ac:dyDescent="0.2">
      <c r="A413" s="65">
        <v>26</v>
      </c>
      <c r="B413" s="66" t="s">
        <v>44</v>
      </c>
      <c r="C413" s="2" t="s">
        <v>68</v>
      </c>
      <c r="E413" s="2" t="s">
        <v>7</v>
      </c>
      <c r="F413" s="1" t="s">
        <v>69</v>
      </c>
      <c r="G413" s="70">
        <v>2.0000000000000002E-5</v>
      </c>
      <c r="H413" s="3">
        <v>2.3557910673731999E-5</v>
      </c>
      <c r="I413" s="101">
        <v>1.0223390275952724</v>
      </c>
      <c r="J413" s="4" t="s">
        <v>10</v>
      </c>
      <c r="K413" s="1" t="s">
        <v>11</v>
      </c>
      <c r="L413" s="1" t="s">
        <v>12</v>
      </c>
    </row>
    <row r="414" spans="1:12" x14ac:dyDescent="0.2">
      <c r="A414" s="65">
        <v>26</v>
      </c>
      <c r="B414" s="66" t="s">
        <v>44</v>
      </c>
      <c r="C414" s="2" t="s">
        <v>68</v>
      </c>
      <c r="E414" s="2" t="s">
        <v>7</v>
      </c>
      <c r="F414" s="1" t="s">
        <v>69</v>
      </c>
      <c r="G414" s="70">
        <v>2.0000000000000001E-4</v>
      </c>
      <c r="H414" s="3">
        <v>2.4738834216502601E-5</v>
      </c>
      <c r="I414" s="101">
        <v>1.0735873850197131</v>
      </c>
      <c r="J414" s="4" t="s">
        <v>10</v>
      </c>
      <c r="K414" s="1" t="s">
        <v>43</v>
      </c>
      <c r="L414" s="1" t="s">
        <v>12</v>
      </c>
    </row>
    <row r="415" spans="1:12" x14ac:dyDescent="0.2">
      <c r="A415" s="65">
        <v>26</v>
      </c>
      <c r="B415" s="66" t="s">
        <v>44</v>
      </c>
      <c r="C415" s="2" t="s">
        <v>68</v>
      </c>
      <c r="E415" s="2" t="s">
        <v>7</v>
      </c>
      <c r="F415" s="1" t="s">
        <v>69</v>
      </c>
      <c r="G415" s="70">
        <v>2E-3</v>
      </c>
      <c r="H415" s="3">
        <v>3.3883421650264902E-5</v>
      </c>
      <c r="I415" s="101">
        <v>1.4704336399474411</v>
      </c>
      <c r="J415" s="4" t="s">
        <v>10</v>
      </c>
      <c r="K415" s="1" t="s">
        <v>13</v>
      </c>
      <c r="L415" s="1" t="s">
        <v>16</v>
      </c>
    </row>
    <row r="416" spans="1:12" x14ac:dyDescent="0.2">
      <c r="A416" s="65">
        <v>26</v>
      </c>
      <c r="B416" s="66" t="s">
        <v>44</v>
      </c>
      <c r="C416" s="2" t="s">
        <v>68</v>
      </c>
      <c r="E416" s="2" t="s">
        <v>7</v>
      </c>
      <c r="F416" s="1" t="s">
        <v>69</v>
      </c>
      <c r="G416" s="70">
        <v>0.02</v>
      </c>
      <c r="H416" s="3">
        <v>2.9613928841786501E-5</v>
      </c>
      <c r="I416" s="101">
        <v>1.2851511169513836</v>
      </c>
      <c r="J416" s="4" t="s">
        <v>10</v>
      </c>
      <c r="K416" s="1" t="s">
        <v>13</v>
      </c>
      <c r="L416" s="1" t="s">
        <v>16</v>
      </c>
    </row>
    <row r="417" spans="1:12" x14ac:dyDescent="0.2">
      <c r="A417" s="65">
        <v>26</v>
      </c>
      <c r="B417" s="66" t="s">
        <v>44</v>
      </c>
      <c r="C417" s="2" t="s">
        <v>68</v>
      </c>
      <c r="E417" s="2" t="s">
        <v>7</v>
      </c>
      <c r="F417" s="1" t="s">
        <v>69</v>
      </c>
      <c r="G417" s="70">
        <v>0.2</v>
      </c>
      <c r="H417" s="3">
        <v>2.52838758516275E-5</v>
      </c>
      <c r="I417" s="101">
        <v>1.0972404730617626</v>
      </c>
      <c r="J417" s="4" t="s">
        <v>10</v>
      </c>
      <c r="K417" s="1" t="s">
        <v>11</v>
      </c>
      <c r="L417" s="1" t="s">
        <v>12</v>
      </c>
    </row>
    <row r="418" spans="1:12" x14ac:dyDescent="0.2">
      <c r="A418" s="65">
        <v>26</v>
      </c>
      <c r="B418" s="66" t="s">
        <v>44</v>
      </c>
      <c r="C418" s="2" t="s">
        <v>68</v>
      </c>
      <c r="E418" s="2" t="s">
        <v>7</v>
      </c>
      <c r="F418" s="1" t="s">
        <v>69</v>
      </c>
      <c r="G418" s="70">
        <v>2</v>
      </c>
      <c r="H418" s="3">
        <v>2.29220287660863E-5</v>
      </c>
      <c r="I418" s="101">
        <v>0.99474375821288175</v>
      </c>
      <c r="J418" s="4" t="s">
        <v>10</v>
      </c>
      <c r="K418" s="1" t="s">
        <v>11</v>
      </c>
      <c r="L418" s="1" t="s">
        <v>12</v>
      </c>
    </row>
    <row r="419" spans="1:12" x14ac:dyDescent="0.2">
      <c r="A419" s="65">
        <v>5</v>
      </c>
      <c r="B419" s="66" t="s">
        <v>113</v>
      </c>
      <c r="C419" s="2" t="s">
        <v>7</v>
      </c>
      <c r="D419" s="1" t="s">
        <v>8</v>
      </c>
      <c r="E419" s="2" t="s">
        <v>7</v>
      </c>
      <c r="F419" s="1" t="s">
        <v>67</v>
      </c>
      <c r="G419" s="70">
        <v>0</v>
      </c>
      <c r="H419" s="3">
        <v>1.16618075801748E-6</v>
      </c>
      <c r="I419" s="101">
        <v>1</v>
      </c>
      <c r="J419" s="4" t="s">
        <v>10</v>
      </c>
      <c r="K419" s="1" t="s">
        <v>11</v>
      </c>
      <c r="L419" s="1" t="s">
        <v>12</v>
      </c>
    </row>
    <row r="420" spans="1:12" x14ac:dyDescent="0.2">
      <c r="A420" s="65">
        <v>5</v>
      </c>
      <c r="B420" s="66" t="s">
        <v>113</v>
      </c>
      <c r="C420" s="2" t="s">
        <v>7</v>
      </c>
      <c r="D420" s="1" t="s">
        <v>8</v>
      </c>
      <c r="E420" s="2" t="s">
        <v>7</v>
      </c>
      <c r="F420" s="1" t="s">
        <v>67</v>
      </c>
      <c r="G420" s="70">
        <v>0.01</v>
      </c>
      <c r="H420" s="3">
        <v>1.3896987366374999E-6</v>
      </c>
      <c r="I420" s="101">
        <v>1.1916666666666691</v>
      </c>
      <c r="J420" s="4" t="s">
        <v>10</v>
      </c>
      <c r="K420" s="1" t="s">
        <v>11</v>
      </c>
      <c r="L420" s="1" t="s">
        <v>12</v>
      </c>
    </row>
    <row r="421" spans="1:12" x14ac:dyDescent="0.2">
      <c r="A421" s="65">
        <v>5</v>
      </c>
      <c r="B421" s="66" t="s">
        <v>113</v>
      </c>
      <c r="C421" s="2" t="s">
        <v>7</v>
      </c>
      <c r="D421" s="1" t="s">
        <v>8</v>
      </c>
      <c r="E421" s="2" t="s">
        <v>7</v>
      </c>
      <c r="F421" s="1" t="s">
        <v>67</v>
      </c>
      <c r="G421" s="70">
        <v>0.1</v>
      </c>
      <c r="H421" s="3">
        <v>1.21477162293488E-6</v>
      </c>
      <c r="I421" s="101">
        <v>1.041666666666671</v>
      </c>
      <c r="J421" s="4" t="s">
        <v>10</v>
      </c>
      <c r="K421" s="1" t="s">
        <v>11</v>
      </c>
      <c r="L421" s="1" t="s">
        <v>12</v>
      </c>
    </row>
    <row r="422" spans="1:12" x14ac:dyDescent="0.2">
      <c r="A422" s="65">
        <v>5</v>
      </c>
      <c r="B422" s="66" t="s">
        <v>113</v>
      </c>
      <c r="C422" s="2" t="s">
        <v>7</v>
      </c>
      <c r="D422" s="1" t="s">
        <v>8</v>
      </c>
      <c r="E422" s="2" t="s">
        <v>7</v>
      </c>
      <c r="F422" s="1" t="s">
        <v>67</v>
      </c>
      <c r="G422" s="70">
        <v>1</v>
      </c>
      <c r="H422" s="3">
        <v>5.3741496598639403E-6</v>
      </c>
      <c r="I422" s="101">
        <v>4.6083333333333787</v>
      </c>
      <c r="J422" s="4" t="s">
        <v>10</v>
      </c>
      <c r="K422" s="1" t="s">
        <v>13</v>
      </c>
      <c r="L422" s="1" t="s">
        <v>28</v>
      </c>
    </row>
    <row r="423" spans="1:12" x14ac:dyDescent="0.2">
      <c r="A423" s="65">
        <v>5</v>
      </c>
      <c r="B423" s="66" t="s">
        <v>113</v>
      </c>
      <c r="C423" s="2" t="s">
        <v>7</v>
      </c>
      <c r="D423" s="1" t="s">
        <v>8</v>
      </c>
      <c r="E423" s="2" t="s">
        <v>7</v>
      </c>
      <c r="F423" s="1" t="s">
        <v>67</v>
      </c>
      <c r="G423" s="70">
        <v>10</v>
      </c>
      <c r="H423" s="3">
        <v>8.8241010689990194E-6</v>
      </c>
      <c r="I423" s="101">
        <v>7.566666666666741</v>
      </c>
      <c r="J423" s="4" t="s">
        <v>10</v>
      </c>
      <c r="K423" s="1" t="s">
        <v>13</v>
      </c>
      <c r="L423" s="1" t="s">
        <v>28</v>
      </c>
    </row>
    <row r="424" spans="1:12" x14ac:dyDescent="0.2">
      <c r="A424" s="65">
        <v>5</v>
      </c>
      <c r="B424" s="66" t="s">
        <v>113</v>
      </c>
      <c r="C424" s="2" t="s">
        <v>7</v>
      </c>
      <c r="D424" s="1" t="s">
        <v>8</v>
      </c>
      <c r="E424" s="2" t="s">
        <v>7</v>
      </c>
      <c r="F424" s="1" t="s">
        <v>67</v>
      </c>
      <c r="G424" s="70">
        <v>50</v>
      </c>
      <c r="H424" s="3">
        <v>2.0116618075801699E-6</v>
      </c>
      <c r="I424" s="101">
        <v>1.7250000000000145</v>
      </c>
      <c r="J424" s="4" t="s">
        <v>10</v>
      </c>
      <c r="K424" s="1" t="s">
        <v>13</v>
      </c>
      <c r="L424" s="1" t="s">
        <v>12</v>
      </c>
    </row>
    <row r="425" spans="1:12" x14ac:dyDescent="0.2">
      <c r="A425" s="65">
        <v>9</v>
      </c>
      <c r="B425" s="66" t="s">
        <v>256</v>
      </c>
      <c r="C425" s="2" t="s">
        <v>58</v>
      </c>
      <c r="D425" s="1" t="s">
        <v>9</v>
      </c>
      <c r="E425" s="2" t="s">
        <v>7</v>
      </c>
      <c r="F425" s="1" t="s">
        <v>66</v>
      </c>
      <c r="G425" s="70">
        <v>0</v>
      </c>
      <c r="H425" s="3">
        <v>1.46440677966101E-5</v>
      </c>
      <c r="I425" s="101">
        <v>1</v>
      </c>
      <c r="J425" s="4" t="s">
        <v>10</v>
      </c>
      <c r="K425" s="1" t="s">
        <v>11</v>
      </c>
      <c r="L425" s="1" t="s">
        <v>12</v>
      </c>
    </row>
    <row r="426" spans="1:12" x14ac:dyDescent="0.2">
      <c r="A426" s="65">
        <v>9</v>
      </c>
      <c r="B426" s="66" t="s">
        <v>256</v>
      </c>
      <c r="C426" s="2" t="s">
        <v>58</v>
      </c>
      <c r="D426" s="1" t="s">
        <v>9</v>
      </c>
      <c r="E426" s="2" t="s">
        <v>7</v>
      </c>
      <c r="F426" s="1" t="s">
        <v>66</v>
      </c>
      <c r="G426" s="70">
        <v>2E-3</v>
      </c>
      <c r="H426" s="3">
        <v>2.07966101694915E-5</v>
      </c>
      <c r="I426" s="101">
        <v>1.4201388888888939</v>
      </c>
      <c r="J426" s="4" t="s">
        <v>10</v>
      </c>
      <c r="K426" s="1" t="s">
        <v>13</v>
      </c>
      <c r="L426" s="1" t="s">
        <v>12</v>
      </c>
    </row>
    <row r="427" spans="1:12" x14ac:dyDescent="0.2">
      <c r="A427" s="65">
        <v>9</v>
      </c>
      <c r="B427" s="66" t="s">
        <v>256</v>
      </c>
      <c r="C427" s="2" t="s">
        <v>58</v>
      </c>
      <c r="D427" s="1" t="s">
        <v>9</v>
      </c>
      <c r="E427" s="2" t="s">
        <v>7</v>
      </c>
      <c r="F427" s="1" t="s">
        <v>66</v>
      </c>
      <c r="G427" s="70">
        <v>4.0000000000000001E-3</v>
      </c>
      <c r="H427" s="3">
        <v>2.0491525423728801E-5</v>
      </c>
      <c r="I427" s="101">
        <v>1.3993055555555614</v>
      </c>
      <c r="J427" s="4" t="s">
        <v>10</v>
      </c>
      <c r="K427" s="1" t="s">
        <v>13</v>
      </c>
      <c r="L427" s="1" t="s">
        <v>12</v>
      </c>
    </row>
    <row r="428" spans="1:12" x14ac:dyDescent="0.2">
      <c r="A428" s="65">
        <v>9</v>
      </c>
      <c r="B428" s="66" t="s">
        <v>256</v>
      </c>
      <c r="C428" s="2" t="s">
        <v>58</v>
      </c>
      <c r="D428" s="1" t="s">
        <v>9</v>
      </c>
      <c r="E428" s="2" t="s">
        <v>7</v>
      </c>
      <c r="F428" s="1" t="s">
        <v>66</v>
      </c>
      <c r="G428" s="70">
        <v>6.0000000000000001E-3</v>
      </c>
      <c r="H428" s="3">
        <v>2.7152542372881301E-5</v>
      </c>
      <c r="I428" s="101">
        <v>1.8541666666666718</v>
      </c>
      <c r="J428" s="4" t="s">
        <v>10</v>
      </c>
      <c r="K428" s="1" t="s">
        <v>13</v>
      </c>
      <c r="L428" s="1" t="s">
        <v>16</v>
      </c>
    </row>
    <row r="429" spans="1:12" x14ac:dyDescent="0.2">
      <c r="A429" s="65">
        <v>9</v>
      </c>
      <c r="B429" s="66" t="s">
        <v>256</v>
      </c>
      <c r="C429" s="2" t="s">
        <v>58</v>
      </c>
      <c r="D429" s="1" t="s">
        <v>9</v>
      </c>
      <c r="E429" s="2" t="s">
        <v>7</v>
      </c>
      <c r="F429" s="1" t="s">
        <v>66</v>
      </c>
      <c r="G429" s="70">
        <v>8.0000000000000002E-3</v>
      </c>
      <c r="H429" s="3">
        <v>3.6915254237288097E-5</v>
      </c>
      <c r="I429" s="101">
        <v>2.5208333333333428</v>
      </c>
      <c r="J429" s="4" t="s">
        <v>10</v>
      </c>
      <c r="K429" s="1" t="s">
        <v>13</v>
      </c>
      <c r="L429" s="1" t="s">
        <v>16</v>
      </c>
    </row>
    <row r="430" spans="1:12" x14ac:dyDescent="0.2">
      <c r="A430" s="65">
        <v>9</v>
      </c>
      <c r="B430" s="66" t="s">
        <v>256</v>
      </c>
      <c r="C430" s="2" t="s">
        <v>58</v>
      </c>
      <c r="D430" s="1" t="s">
        <v>9</v>
      </c>
      <c r="E430" s="2" t="s">
        <v>7</v>
      </c>
      <c r="F430" s="1" t="s">
        <v>66</v>
      </c>
      <c r="G430" s="70">
        <v>0.01</v>
      </c>
      <c r="H430" s="3">
        <v>4.7186440677966102E-5</v>
      </c>
      <c r="I430" s="101">
        <v>3.2222222222222374</v>
      </c>
      <c r="J430" s="4" t="s">
        <v>10</v>
      </c>
      <c r="K430" s="1" t="s">
        <v>13</v>
      </c>
      <c r="L430" s="1" t="s">
        <v>16</v>
      </c>
    </row>
    <row r="431" spans="1:12" x14ac:dyDescent="0.2">
      <c r="A431" s="65">
        <v>9</v>
      </c>
      <c r="B431" s="66" t="s">
        <v>256</v>
      </c>
      <c r="C431" s="2" t="s">
        <v>58</v>
      </c>
      <c r="D431" s="1" t="s">
        <v>9</v>
      </c>
      <c r="E431" s="2" t="s">
        <v>7</v>
      </c>
      <c r="F431" s="1" t="s">
        <v>66</v>
      </c>
      <c r="G431" s="70">
        <v>0.02</v>
      </c>
      <c r="H431" s="3">
        <v>3.4118644067796499E-5</v>
      </c>
      <c r="I431" s="101">
        <v>2.3298611111111147</v>
      </c>
      <c r="J431" s="4" t="s">
        <v>10</v>
      </c>
      <c r="K431" s="1" t="s">
        <v>13</v>
      </c>
      <c r="L431" s="1" t="s">
        <v>16</v>
      </c>
    </row>
    <row r="432" spans="1:12" x14ac:dyDescent="0.2">
      <c r="A432" s="65">
        <v>9</v>
      </c>
      <c r="B432" s="66" t="s">
        <v>256</v>
      </c>
      <c r="C432" s="2" t="s">
        <v>58</v>
      </c>
      <c r="D432" s="1" t="s">
        <v>9</v>
      </c>
      <c r="E432" s="2" t="s">
        <v>7</v>
      </c>
      <c r="F432" s="1" t="s">
        <v>66</v>
      </c>
      <c r="G432" s="70">
        <v>0.05</v>
      </c>
      <c r="H432" s="3">
        <v>3.2949152542372802E-5</v>
      </c>
      <c r="I432" s="101">
        <v>2.2500000000000053</v>
      </c>
      <c r="J432" s="4" t="s">
        <v>10</v>
      </c>
      <c r="K432" s="1" t="s">
        <v>13</v>
      </c>
      <c r="L432" s="1" t="s">
        <v>16</v>
      </c>
    </row>
    <row r="433" spans="1:12" x14ac:dyDescent="0.2">
      <c r="A433" s="65">
        <v>50</v>
      </c>
      <c r="B433" s="66" t="s">
        <v>70</v>
      </c>
      <c r="C433" s="2" t="s">
        <v>7</v>
      </c>
      <c r="D433" s="1" t="s">
        <v>48</v>
      </c>
      <c r="E433" s="2" t="s">
        <v>25</v>
      </c>
      <c r="F433" s="1" t="s">
        <v>26</v>
      </c>
      <c r="G433" s="70">
        <v>0</v>
      </c>
      <c r="H433" s="3" t="s">
        <v>10</v>
      </c>
      <c r="I433" s="101">
        <v>1.0026737967914401</v>
      </c>
      <c r="J433" s="4" t="s">
        <v>10</v>
      </c>
      <c r="K433" s="1" t="s">
        <v>11</v>
      </c>
      <c r="L433" s="1" t="s">
        <v>12</v>
      </c>
    </row>
    <row r="434" spans="1:12" x14ac:dyDescent="0.2">
      <c r="A434" s="65">
        <v>50</v>
      </c>
      <c r="B434" s="66" t="s">
        <v>70</v>
      </c>
      <c r="C434" s="2" t="s">
        <v>7</v>
      </c>
      <c r="D434" s="1" t="s">
        <v>48</v>
      </c>
      <c r="E434" s="2" t="s">
        <v>25</v>
      </c>
      <c r="F434" s="1" t="s">
        <v>26</v>
      </c>
      <c r="G434" s="70">
        <v>1.0000000000000001E-5</v>
      </c>
      <c r="H434" s="3" t="s">
        <v>10</v>
      </c>
      <c r="I434" s="101">
        <v>1.4872994652406399</v>
      </c>
      <c r="J434" s="4" t="s">
        <v>10</v>
      </c>
      <c r="K434" s="1" t="s">
        <v>13</v>
      </c>
      <c r="L434" s="1" t="s">
        <v>12</v>
      </c>
    </row>
    <row r="435" spans="1:12" x14ac:dyDescent="0.2">
      <c r="A435" s="65">
        <v>50</v>
      </c>
      <c r="B435" s="66" t="s">
        <v>70</v>
      </c>
      <c r="C435" s="2" t="s">
        <v>7</v>
      </c>
      <c r="D435" s="1" t="s">
        <v>48</v>
      </c>
      <c r="E435" s="2" t="s">
        <v>25</v>
      </c>
      <c r="F435" s="1" t="s">
        <v>26</v>
      </c>
      <c r="G435" s="70">
        <v>1E-4</v>
      </c>
      <c r="H435" s="3" t="s">
        <v>10</v>
      </c>
      <c r="I435" s="101">
        <v>1.8081550802138999</v>
      </c>
      <c r="J435" s="4" t="s">
        <v>10</v>
      </c>
      <c r="K435" s="1" t="s">
        <v>13</v>
      </c>
      <c r="L435" s="1" t="s">
        <v>14</v>
      </c>
    </row>
    <row r="436" spans="1:12" x14ac:dyDescent="0.2">
      <c r="A436" s="65">
        <v>50</v>
      </c>
      <c r="B436" s="66" t="s">
        <v>70</v>
      </c>
      <c r="C436" s="2" t="s">
        <v>7</v>
      </c>
      <c r="D436" s="1" t="s">
        <v>48</v>
      </c>
      <c r="E436" s="2" t="s">
        <v>25</v>
      </c>
      <c r="F436" s="1" t="s">
        <v>26</v>
      </c>
      <c r="G436" s="70">
        <v>1E-3</v>
      </c>
      <c r="H436" s="3" t="s">
        <v>10</v>
      </c>
      <c r="I436" s="101">
        <v>1.3235294117647001</v>
      </c>
      <c r="J436" s="4" t="s">
        <v>10</v>
      </c>
      <c r="K436" s="1" t="s">
        <v>13</v>
      </c>
      <c r="L436" s="1" t="s">
        <v>16</v>
      </c>
    </row>
    <row r="437" spans="1:12" x14ac:dyDescent="0.2">
      <c r="A437" s="65">
        <v>50</v>
      </c>
      <c r="B437" s="66" t="s">
        <v>70</v>
      </c>
      <c r="C437" s="2" t="s">
        <v>7</v>
      </c>
      <c r="D437" s="1" t="s">
        <v>48</v>
      </c>
      <c r="E437" s="2" t="s">
        <v>25</v>
      </c>
      <c r="F437" s="1" t="s">
        <v>26</v>
      </c>
      <c r="G437" s="70">
        <v>0.01</v>
      </c>
      <c r="H437" s="3" t="s">
        <v>10</v>
      </c>
      <c r="I437" s="101">
        <v>1.45053475935828</v>
      </c>
      <c r="J437" s="4" t="s">
        <v>10</v>
      </c>
      <c r="K437" s="1" t="s">
        <v>13</v>
      </c>
      <c r="L437" s="1" t="s">
        <v>12</v>
      </c>
    </row>
    <row r="438" spans="1:12" x14ac:dyDescent="0.2">
      <c r="A438" s="65">
        <v>50</v>
      </c>
      <c r="B438" s="66" t="s">
        <v>70</v>
      </c>
      <c r="C438" s="2" t="s">
        <v>7</v>
      </c>
      <c r="D438" s="1" t="s">
        <v>48</v>
      </c>
      <c r="E438" s="2" t="s">
        <v>25</v>
      </c>
      <c r="F438" s="1" t="s">
        <v>26</v>
      </c>
      <c r="G438" s="70">
        <v>0.1</v>
      </c>
      <c r="H438" s="3" t="s">
        <v>10</v>
      </c>
      <c r="I438" s="101">
        <v>1.22994652406417</v>
      </c>
      <c r="J438" s="4" t="s">
        <v>10</v>
      </c>
      <c r="K438" s="1" t="s">
        <v>13</v>
      </c>
      <c r="L438" s="1" t="s">
        <v>12</v>
      </c>
    </row>
    <row r="439" spans="1:12" x14ac:dyDescent="0.2">
      <c r="A439" s="65">
        <v>50</v>
      </c>
      <c r="B439" s="66" t="s">
        <v>70</v>
      </c>
      <c r="C439" s="2" t="s">
        <v>7</v>
      </c>
      <c r="D439" s="1" t="s">
        <v>48</v>
      </c>
      <c r="E439" s="2" t="s">
        <v>25</v>
      </c>
      <c r="F439" s="1" t="s">
        <v>26</v>
      </c>
      <c r="G439" s="70">
        <v>1</v>
      </c>
      <c r="H439" s="3" t="s">
        <v>10</v>
      </c>
      <c r="I439" s="101">
        <v>0.28074866310160301</v>
      </c>
      <c r="J439" s="4" t="s">
        <v>10</v>
      </c>
      <c r="K439" s="1" t="s">
        <v>15</v>
      </c>
      <c r="L439" s="1" t="s">
        <v>14</v>
      </c>
    </row>
    <row r="440" spans="1:12" x14ac:dyDescent="0.2">
      <c r="A440" s="65">
        <v>50</v>
      </c>
      <c r="B440" s="66" t="s">
        <v>70</v>
      </c>
      <c r="C440" s="2" t="s">
        <v>7</v>
      </c>
      <c r="D440" s="1" t="s">
        <v>48</v>
      </c>
      <c r="E440" s="2" t="s">
        <v>25</v>
      </c>
      <c r="F440" s="1" t="s">
        <v>26</v>
      </c>
      <c r="G440" s="70">
        <v>0</v>
      </c>
      <c r="H440" s="3" t="s">
        <v>10</v>
      </c>
      <c r="I440" s="101">
        <v>1.0038343558282199</v>
      </c>
      <c r="J440" s="4" t="s">
        <v>10</v>
      </c>
      <c r="K440" s="1" t="s">
        <v>11</v>
      </c>
      <c r="L440" s="1" t="s">
        <v>12</v>
      </c>
    </row>
    <row r="441" spans="1:12" x14ac:dyDescent="0.2">
      <c r="A441" s="65">
        <v>50</v>
      </c>
      <c r="B441" s="66" t="s">
        <v>70</v>
      </c>
      <c r="C441" s="2" t="s">
        <v>7</v>
      </c>
      <c r="D441" s="1" t="s">
        <v>48</v>
      </c>
      <c r="E441" s="2" t="s">
        <v>25</v>
      </c>
      <c r="F441" s="1" t="s">
        <v>26</v>
      </c>
      <c r="G441" s="70">
        <v>1.0000000000000001E-5</v>
      </c>
      <c r="H441" s="3" t="s">
        <v>10</v>
      </c>
      <c r="I441" s="101">
        <v>1.06825153374233</v>
      </c>
      <c r="J441" s="4" t="s">
        <v>10</v>
      </c>
      <c r="K441" s="1" t="s">
        <v>13</v>
      </c>
      <c r="L441" s="1" t="s">
        <v>12</v>
      </c>
    </row>
    <row r="442" spans="1:12" x14ac:dyDescent="0.2">
      <c r="A442" s="65">
        <v>50</v>
      </c>
      <c r="B442" s="66" t="s">
        <v>70</v>
      </c>
      <c r="C442" s="2" t="s">
        <v>7</v>
      </c>
      <c r="D442" s="1" t="s">
        <v>48</v>
      </c>
      <c r="E442" s="2" t="s">
        <v>25</v>
      </c>
      <c r="F442" s="1" t="s">
        <v>26</v>
      </c>
      <c r="G442" s="70">
        <v>1E-4</v>
      </c>
      <c r="H442" s="3" t="s">
        <v>10</v>
      </c>
      <c r="I442" s="101">
        <v>2.0076687116564398</v>
      </c>
      <c r="J442" s="4" t="s">
        <v>10</v>
      </c>
      <c r="K442" s="1" t="s">
        <v>13</v>
      </c>
      <c r="L442" s="1" t="s">
        <v>12</v>
      </c>
    </row>
    <row r="443" spans="1:12" x14ac:dyDescent="0.2">
      <c r="A443" s="65">
        <v>50</v>
      </c>
      <c r="B443" s="66" t="s">
        <v>70</v>
      </c>
      <c r="C443" s="2" t="s">
        <v>7</v>
      </c>
      <c r="D443" s="1" t="s">
        <v>48</v>
      </c>
      <c r="E443" s="2" t="s">
        <v>25</v>
      </c>
      <c r="F443" s="1" t="s">
        <v>26</v>
      </c>
      <c r="G443" s="70">
        <v>1E-3</v>
      </c>
      <c r="H443" s="3" t="s">
        <v>10</v>
      </c>
      <c r="I443" s="101">
        <v>2.3995398773006098</v>
      </c>
      <c r="J443" s="4" t="s">
        <v>10</v>
      </c>
      <c r="K443" s="1" t="s">
        <v>13</v>
      </c>
      <c r="L443" s="1" t="s">
        <v>14</v>
      </c>
    </row>
    <row r="444" spans="1:12" x14ac:dyDescent="0.2">
      <c r="A444" s="65">
        <v>50</v>
      </c>
      <c r="B444" s="66" t="s">
        <v>70</v>
      </c>
      <c r="C444" s="2" t="s">
        <v>7</v>
      </c>
      <c r="D444" s="1" t="s">
        <v>48</v>
      </c>
      <c r="E444" s="2" t="s">
        <v>25</v>
      </c>
      <c r="F444" s="1" t="s">
        <v>26</v>
      </c>
      <c r="G444" s="70">
        <v>0.01</v>
      </c>
      <c r="H444" s="3" t="s">
        <v>10</v>
      </c>
      <c r="I444" s="101">
        <v>2.43711656441717</v>
      </c>
      <c r="J444" s="4" t="s">
        <v>10</v>
      </c>
      <c r="K444" s="1" t="s">
        <v>13</v>
      </c>
      <c r="L444" s="1" t="s">
        <v>14</v>
      </c>
    </row>
    <row r="445" spans="1:12" x14ac:dyDescent="0.2">
      <c r="A445" s="65">
        <v>50</v>
      </c>
      <c r="B445" s="66" t="s">
        <v>70</v>
      </c>
      <c r="C445" s="2" t="s">
        <v>7</v>
      </c>
      <c r="D445" s="1" t="s">
        <v>48</v>
      </c>
      <c r="E445" s="2" t="s">
        <v>25</v>
      </c>
      <c r="F445" s="1" t="s">
        <v>26</v>
      </c>
      <c r="G445" s="70">
        <v>0.1</v>
      </c>
      <c r="H445" s="3" t="s">
        <v>10</v>
      </c>
      <c r="I445" s="101">
        <v>1.51380368098159</v>
      </c>
      <c r="J445" s="4" t="s">
        <v>10</v>
      </c>
      <c r="K445" s="1" t="s">
        <v>13</v>
      </c>
      <c r="L445" s="1" t="s">
        <v>12</v>
      </c>
    </row>
    <row r="446" spans="1:12" x14ac:dyDescent="0.2">
      <c r="A446" s="65">
        <v>50</v>
      </c>
      <c r="B446" s="66" t="s">
        <v>70</v>
      </c>
      <c r="C446" s="2" t="s">
        <v>7</v>
      </c>
      <c r="D446" s="1" t="s">
        <v>48</v>
      </c>
      <c r="E446" s="2" t="s">
        <v>25</v>
      </c>
      <c r="F446" s="1" t="s">
        <v>26</v>
      </c>
      <c r="G446" s="70">
        <v>1</v>
      </c>
      <c r="H446" s="3" t="s">
        <v>10</v>
      </c>
      <c r="I446" s="101">
        <v>0.622699386503067</v>
      </c>
      <c r="J446" s="4" t="s">
        <v>10</v>
      </c>
      <c r="K446" s="1" t="s">
        <v>15</v>
      </c>
      <c r="L446" s="1" t="s">
        <v>14</v>
      </c>
    </row>
    <row r="447" spans="1:12" x14ac:dyDescent="0.2">
      <c r="A447" s="65">
        <v>54</v>
      </c>
      <c r="B447" s="66" t="s">
        <v>307</v>
      </c>
      <c r="C447" s="2" t="s">
        <v>7</v>
      </c>
      <c r="D447" s="1" t="s">
        <v>48</v>
      </c>
      <c r="E447" s="2" t="s">
        <v>25</v>
      </c>
      <c r="F447" s="1" t="s">
        <v>26</v>
      </c>
      <c r="G447" s="70">
        <v>0</v>
      </c>
      <c r="H447" s="3">
        <v>6.3276836158192096E-7</v>
      </c>
      <c r="I447" s="101">
        <v>1</v>
      </c>
      <c r="J447" s="4" t="s">
        <v>10</v>
      </c>
      <c r="K447" s="1" t="s">
        <v>11</v>
      </c>
      <c r="L447" s="1" t="s">
        <v>12</v>
      </c>
    </row>
    <row r="448" spans="1:12" x14ac:dyDescent="0.2">
      <c r="A448" s="65">
        <v>54</v>
      </c>
      <c r="B448" s="66" t="s">
        <v>307</v>
      </c>
      <c r="C448" s="2" t="s">
        <v>7</v>
      </c>
      <c r="D448" s="1" t="s">
        <v>48</v>
      </c>
      <c r="E448" s="2" t="s">
        <v>25</v>
      </c>
      <c r="F448" s="1" t="s">
        <v>26</v>
      </c>
      <c r="G448" s="70">
        <v>3.1775E-5</v>
      </c>
      <c r="H448" s="3">
        <v>6.9209039548022597E-7</v>
      </c>
      <c r="I448" s="101">
        <v>1.0937499999999998</v>
      </c>
      <c r="J448" s="4" t="s">
        <v>10</v>
      </c>
      <c r="K448" s="1" t="s">
        <v>11</v>
      </c>
      <c r="L448" s="1" t="s">
        <v>12</v>
      </c>
    </row>
    <row r="449" spans="1:12" x14ac:dyDescent="0.2">
      <c r="A449" s="65">
        <v>54</v>
      </c>
      <c r="B449" s="66" t="s">
        <v>307</v>
      </c>
      <c r="C449" s="2" t="s">
        <v>7</v>
      </c>
      <c r="D449" s="1" t="s">
        <v>48</v>
      </c>
      <c r="E449" s="2" t="s">
        <v>25</v>
      </c>
      <c r="F449" s="1" t="s">
        <v>26</v>
      </c>
      <c r="G449" s="70">
        <v>6.355E-5</v>
      </c>
      <c r="H449" s="3">
        <v>1.29661016949152E-6</v>
      </c>
      <c r="I449" s="101">
        <v>2.0491071428571344</v>
      </c>
      <c r="J449" s="4" t="s">
        <v>10</v>
      </c>
      <c r="K449" s="1" t="s">
        <v>13</v>
      </c>
      <c r="L449" s="1" t="s">
        <v>16</v>
      </c>
    </row>
    <row r="450" spans="1:12" x14ac:dyDescent="0.2">
      <c r="A450" s="65">
        <v>54</v>
      </c>
      <c r="B450" s="66" t="s">
        <v>307</v>
      </c>
      <c r="C450" s="2" t="s">
        <v>7</v>
      </c>
      <c r="D450" s="1" t="s">
        <v>48</v>
      </c>
      <c r="E450" s="2" t="s">
        <v>25</v>
      </c>
      <c r="F450" s="1" t="s">
        <v>26</v>
      </c>
      <c r="G450" s="70">
        <v>3.1775E-4</v>
      </c>
      <c r="H450" s="3">
        <v>1.3502824858757E-6</v>
      </c>
      <c r="I450" s="101">
        <v>2.1339285714285614</v>
      </c>
      <c r="J450" s="4" t="s">
        <v>10</v>
      </c>
      <c r="K450" s="1" t="s">
        <v>13</v>
      </c>
      <c r="L450" s="1" t="s">
        <v>16</v>
      </c>
    </row>
    <row r="451" spans="1:12" x14ac:dyDescent="0.2">
      <c r="A451" s="65">
        <v>54</v>
      </c>
      <c r="B451" s="66" t="s">
        <v>307</v>
      </c>
      <c r="C451" s="2" t="s">
        <v>7</v>
      </c>
      <c r="D451" s="1" t="s">
        <v>48</v>
      </c>
      <c r="E451" s="2" t="s">
        <v>25</v>
      </c>
      <c r="F451" s="1" t="s">
        <v>26</v>
      </c>
      <c r="G451" s="70">
        <v>6.355E-4</v>
      </c>
      <c r="H451" s="3">
        <v>1.13276836158192E-6</v>
      </c>
      <c r="I451" s="101">
        <v>1.7901785714285698</v>
      </c>
      <c r="J451" s="4" t="s">
        <v>10</v>
      </c>
      <c r="K451" s="1" t="s">
        <v>13</v>
      </c>
      <c r="L451" s="1" t="s">
        <v>16</v>
      </c>
    </row>
    <row r="452" spans="1:12" x14ac:dyDescent="0.2">
      <c r="A452" s="65">
        <v>54</v>
      </c>
      <c r="B452" s="66" t="s">
        <v>307</v>
      </c>
      <c r="C452" s="2" t="s">
        <v>7</v>
      </c>
      <c r="D452" s="1" t="s">
        <v>48</v>
      </c>
      <c r="E452" s="2" t="s">
        <v>25</v>
      </c>
      <c r="F452" s="1" t="s">
        <v>26</v>
      </c>
      <c r="G452" s="70">
        <v>6.3550000000000004E-3</v>
      </c>
      <c r="H452" s="3">
        <v>1.7514124293785301E-7</v>
      </c>
      <c r="I452" s="101">
        <v>0.27678571428571408</v>
      </c>
      <c r="J452" s="4" t="s">
        <v>10</v>
      </c>
      <c r="K452" s="1" t="s">
        <v>15</v>
      </c>
      <c r="L452" s="1" t="s">
        <v>16</v>
      </c>
    </row>
    <row r="453" spans="1:12" x14ac:dyDescent="0.2">
      <c r="A453" s="65">
        <v>54</v>
      </c>
      <c r="B453" s="66" t="s">
        <v>311</v>
      </c>
      <c r="C453" s="2" t="s">
        <v>7</v>
      </c>
      <c r="D453" s="1" t="s">
        <v>48</v>
      </c>
      <c r="E453" s="2" t="s">
        <v>25</v>
      </c>
      <c r="F453" s="1" t="s">
        <v>26</v>
      </c>
      <c r="G453" s="70">
        <v>0</v>
      </c>
      <c r="H453" s="3">
        <v>6.2862488306828796E-7</v>
      </c>
      <c r="I453" s="101">
        <v>1</v>
      </c>
      <c r="J453" s="4" t="s">
        <v>10</v>
      </c>
      <c r="K453" s="1" t="s">
        <v>11</v>
      </c>
      <c r="L453" s="1" t="s">
        <v>12</v>
      </c>
    </row>
    <row r="454" spans="1:12" x14ac:dyDescent="0.2">
      <c r="A454" s="65">
        <v>54</v>
      </c>
      <c r="B454" s="66" t="s">
        <v>311</v>
      </c>
      <c r="C454" s="2" t="s">
        <v>7</v>
      </c>
      <c r="D454" s="1" t="s">
        <v>48</v>
      </c>
      <c r="E454" s="2" t="s">
        <v>25</v>
      </c>
      <c r="F454" s="1" t="s">
        <v>26</v>
      </c>
      <c r="G454" s="70">
        <v>3.1775E-5</v>
      </c>
      <c r="H454" s="3">
        <v>9.2048643592142197E-7</v>
      </c>
      <c r="I454" s="101">
        <v>1.4642857142857149</v>
      </c>
      <c r="J454" s="4" t="s">
        <v>10</v>
      </c>
      <c r="K454" s="1" t="s">
        <v>13</v>
      </c>
      <c r="L454" s="1" t="s">
        <v>16</v>
      </c>
    </row>
    <row r="455" spans="1:12" x14ac:dyDescent="0.2">
      <c r="A455" s="65">
        <v>54</v>
      </c>
      <c r="B455" s="66" t="s">
        <v>311</v>
      </c>
      <c r="C455" s="2" t="s">
        <v>7</v>
      </c>
      <c r="D455" s="1" t="s">
        <v>48</v>
      </c>
      <c r="E455" s="2" t="s">
        <v>25</v>
      </c>
      <c r="F455" s="1" t="s">
        <v>26</v>
      </c>
      <c r="G455" s="70">
        <v>6.355E-5</v>
      </c>
      <c r="H455" s="3">
        <v>9.1674462114125399E-7</v>
      </c>
      <c r="I455" s="101">
        <v>1.4583333333333344</v>
      </c>
      <c r="J455" s="4" t="s">
        <v>10</v>
      </c>
      <c r="K455" s="1" t="s">
        <v>13</v>
      </c>
      <c r="L455" s="1" t="s">
        <v>16</v>
      </c>
    </row>
    <row r="456" spans="1:12" x14ac:dyDescent="0.2">
      <c r="A456" s="65">
        <v>54</v>
      </c>
      <c r="B456" s="66" t="s">
        <v>311</v>
      </c>
      <c r="C456" s="2" t="s">
        <v>7</v>
      </c>
      <c r="D456" s="1" t="s">
        <v>48</v>
      </c>
      <c r="E456" s="2" t="s">
        <v>25</v>
      </c>
      <c r="F456" s="1" t="s">
        <v>26</v>
      </c>
      <c r="G456" s="70">
        <v>3.1775E-4</v>
      </c>
      <c r="H456" s="3">
        <v>8.3068288119738101E-7</v>
      </c>
      <c r="I456" s="101">
        <v>1.3214285714285723</v>
      </c>
      <c r="J456" s="4" t="s">
        <v>10</v>
      </c>
      <c r="K456" s="1" t="s">
        <v>13</v>
      </c>
      <c r="L456" s="1" t="s">
        <v>16</v>
      </c>
    </row>
    <row r="457" spans="1:12" x14ac:dyDescent="0.2">
      <c r="A457" s="65">
        <v>54</v>
      </c>
      <c r="B457" s="66" t="s">
        <v>311</v>
      </c>
      <c r="C457" s="2" t="s">
        <v>7</v>
      </c>
      <c r="D457" s="1" t="s">
        <v>48</v>
      </c>
      <c r="E457" s="2" t="s">
        <v>25</v>
      </c>
      <c r="F457" s="1" t="s">
        <v>26</v>
      </c>
      <c r="G457" s="70">
        <v>6.355E-4</v>
      </c>
      <c r="H457" s="3">
        <v>1.83348924228251E-7</v>
      </c>
      <c r="I457" s="101">
        <v>0.29166666666666724</v>
      </c>
      <c r="J457" s="4" t="s">
        <v>10</v>
      </c>
      <c r="K457" s="1" t="s">
        <v>13</v>
      </c>
      <c r="L457" s="1" t="s">
        <v>16</v>
      </c>
    </row>
    <row r="458" spans="1:12" x14ac:dyDescent="0.2">
      <c r="A458" s="65">
        <v>54</v>
      </c>
      <c r="B458" s="66" t="s">
        <v>311</v>
      </c>
      <c r="C458" s="2" t="s">
        <v>7</v>
      </c>
      <c r="D458" s="1" t="s">
        <v>48</v>
      </c>
      <c r="E458" s="2" t="s">
        <v>25</v>
      </c>
      <c r="F458" s="1" t="s">
        <v>26</v>
      </c>
      <c r="G458" s="70">
        <v>6.3550000000000004E-3</v>
      </c>
      <c r="H458" s="3">
        <v>0</v>
      </c>
      <c r="I458" s="101">
        <v>0</v>
      </c>
      <c r="J458" s="4" t="s">
        <v>10</v>
      </c>
      <c r="K458" s="1" t="s">
        <v>15</v>
      </c>
      <c r="L458" s="1" t="s">
        <v>16</v>
      </c>
    </row>
    <row r="459" spans="1:12" x14ac:dyDescent="0.2">
      <c r="A459" s="65">
        <v>67</v>
      </c>
      <c r="B459" s="66" t="s">
        <v>72</v>
      </c>
      <c r="C459" s="2" t="s">
        <v>7</v>
      </c>
      <c r="D459" s="1" t="s">
        <v>20</v>
      </c>
      <c r="E459" s="2" t="s">
        <v>7</v>
      </c>
      <c r="F459" s="1" t="s">
        <v>8</v>
      </c>
      <c r="G459" s="70">
        <v>0</v>
      </c>
      <c r="H459" s="3">
        <v>1.2324050632911299E-3</v>
      </c>
      <c r="I459" s="101">
        <v>1</v>
      </c>
      <c r="J459" s="4" t="s">
        <v>10</v>
      </c>
      <c r="K459" s="1" t="s">
        <v>11</v>
      </c>
      <c r="L459" s="1" t="s">
        <v>12</v>
      </c>
    </row>
    <row r="460" spans="1:12" x14ac:dyDescent="0.2">
      <c r="A460" s="65">
        <v>67</v>
      </c>
      <c r="B460" s="66" t="s">
        <v>72</v>
      </c>
      <c r="C460" s="2" t="s">
        <v>7</v>
      </c>
      <c r="D460" s="1" t="s">
        <v>20</v>
      </c>
      <c r="E460" s="2" t="s">
        <v>7</v>
      </c>
      <c r="F460" s="1" t="s">
        <v>8</v>
      </c>
      <c r="G460" s="70">
        <f>0.01*1000</f>
        <v>10</v>
      </c>
      <c r="H460" s="3">
        <v>6.6784303797468303E-3</v>
      </c>
      <c r="I460" s="101">
        <v>5.419022185702584</v>
      </c>
      <c r="J460" s="4" t="s">
        <v>10</v>
      </c>
      <c r="K460" s="1" t="s">
        <v>13</v>
      </c>
      <c r="L460" s="1" t="s">
        <v>14</v>
      </c>
    </row>
    <row r="461" spans="1:12" x14ac:dyDescent="0.2">
      <c r="A461" s="65">
        <v>67</v>
      </c>
      <c r="B461" s="66" t="s">
        <v>72</v>
      </c>
      <c r="C461" s="2" t="s">
        <v>7</v>
      </c>
      <c r="D461" s="1" t="s">
        <v>20</v>
      </c>
      <c r="E461" s="2" t="s">
        <v>7</v>
      </c>
      <c r="F461" s="1" t="s">
        <v>8</v>
      </c>
      <c r="G461" s="70">
        <f>0.1*1000</f>
        <v>100</v>
      </c>
      <c r="H461" s="3">
        <v>7.3528607594936703E-3</v>
      </c>
      <c r="I461" s="101">
        <v>5.9662695152013594</v>
      </c>
      <c r="J461" s="4" t="s">
        <v>10</v>
      </c>
      <c r="K461" s="1" t="s">
        <v>13</v>
      </c>
      <c r="L461" s="1" t="s">
        <v>14</v>
      </c>
    </row>
    <row r="462" spans="1:12" x14ac:dyDescent="0.2">
      <c r="A462" s="65">
        <v>67</v>
      </c>
      <c r="B462" s="66" t="s">
        <v>72</v>
      </c>
      <c r="C462" s="2" t="s">
        <v>7</v>
      </c>
      <c r="D462" s="1" t="s">
        <v>20</v>
      </c>
      <c r="E462" s="2" t="s">
        <v>7</v>
      </c>
      <c r="F462" s="1" t="s">
        <v>8</v>
      </c>
      <c r="G462" s="70">
        <v>500</v>
      </c>
      <c r="H462" s="3">
        <v>7.6816455696202502E-3</v>
      </c>
      <c r="I462" s="101">
        <v>6.2330525883320087</v>
      </c>
      <c r="J462" s="4" t="s">
        <v>10</v>
      </c>
      <c r="K462" s="1" t="s">
        <v>13</v>
      </c>
      <c r="L462" s="1" t="s">
        <v>14</v>
      </c>
    </row>
    <row r="463" spans="1:12" x14ac:dyDescent="0.2">
      <c r="A463" s="65">
        <v>67</v>
      </c>
      <c r="B463" s="66" t="s">
        <v>71</v>
      </c>
      <c r="C463" s="2" t="s">
        <v>7</v>
      </c>
      <c r="D463" s="1" t="s">
        <v>20</v>
      </c>
      <c r="E463" s="2" t="s">
        <v>7</v>
      </c>
      <c r="F463" s="1" t="s">
        <v>8</v>
      </c>
      <c r="G463" s="70">
        <v>0</v>
      </c>
      <c r="H463" s="3">
        <v>1.2324050632911299E-3</v>
      </c>
      <c r="I463" s="101">
        <v>1</v>
      </c>
      <c r="J463" s="4" t="s">
        <v>10</v>
      </c>
      <c r="K463" s="1" t="s">
        <v>11</v>
      </c>
      <c r="L463" s="1" t="s">
        <v>12</v>
      </c>
    </row>
    <row r="464" spans="1:12" x14ac:dyDescent="0.2">
      <c r="A464" s="65">
        <v>67</v>
      </c>
      <c r="B464" s="66" t="s">
        <v>71</v>
      </c>
      <c r="C464" s="2" t="s">
        <v>7</v>
      </c>
      <c r="D464" s="1" t="s">
        <v>20</v>
      </c>
      <c r="E464" s="2" t="s">
        <v>7</v>
      </c>
      <c r="F464" s="1" t="s">
        <v>8</v>
      </c>
      <c r="G464" s="70">
        <f>0.01*1000</f>
        <v>10</v>
      </c>
      <c r="H464" s="3">
        <v>6.2147594936708796E-3</v>
      </c>
      <c r="I464" s="101">
        <v>5.0427896466721771</v>
      </c>
      <c r="J464" s="4" t="s">
        <v>10</v>
      </c>
      <c r="K464" s="1" t="s">
        <v>13</v>
      </c>
      <c r="L464" s="1" t="s">
        <v>14</v>
      </c>
    </row>
    <row r="465" spans="1:12" x14ac:dyDescent="0.2">
      <c r="A465" s="65">
        <v>67</v>
      </c>
      <c r="B465" s="66" t="s">
        <v>71</v>
      </c>
      <c r="C465" s="2" t="s">
        <v>7</v>
      </c>
      <c r="D465" s="1" t="s">
        <v>20</v>
      </c>
      <c r="E465" s="2" t="s">
        <v>7</v>
      </c>
      <c r="F465" s="1" t="s">
        <v>8</v>
      </c>
      <c r="G465" s="70">
        <f>0.1*1000</f>
        <v>100</v>
      </c>
      <c r="H465" s="3">
        <v>6.8891898734177196E-3</v>
      </c>
      <c r="I465" s="101">
        <v>5.5900369761709525</v>
      </c>
      <c r="J465" s="4" t="s">
        <v>10</v>
      </c>
      <c r="K465" s="1" t="s">
        <v>13</v>
      </c>
      <c r="L465" s="1" t="s">
        <v>14</v>
      </c>
    </row>
    <row r="466" spans="1:12" x14ac:dyDescent="0.2">
      <c r="A466" s="65">
        <v>67</v>
      </c>
      <c r="B466" s="66" t="s">
        <v>71</v>
      </c>
      <c r="C466" s="2" t="s">
        <v>7</v>
      </c>
      <c r="D466" s="1" t="s">
        <v>20</v>
      </c>
      <c r="E466" s="2" t="s">
        <v>7</v>
      </c>
      <c r="F466" s="1" t="s">
        <v>8</v>
      </c>
      <c r="G466" s="70">
        <v>500</v>
      </c>
      <c r="H466" s="3">
        <v>7.4203037974683497E-3</v>
      </c>
      <c r="I466" s="101">
        <v>6.0209942481512329</v>
      </c>
      <c r="J466" s="4" t="s">
        <v>10</v>
      </c>
      <c r="K466" s="1" t="s">
        <v>13</v>
      </c>
      <c r="L466" s="1" t="s">
        <v>14</v>
      </c>
    </row>
    <row r="467" spans="1:12" x14ac:dyDescent="0.2">
      <c r="A467" s="65">
        <v>67</v>
      </c>
      <c r="B467" s="66" t="s">
        <v>313</v>
      </c>
      <c r="C467" s="2" t="s">
        <v>7</v>
      </c>
      <c r="D467" s="1" t="s">
        <v>20</v>
      </c>
      <c r="E467" s="2" t="s">
        <v>7</v>
      </c>
      <c r="F467" s="1" t="s">
        <v>8</v>
      </c>
      <c r="G467" s="70">
        <v>0</v>
      </c>
      <c r="H467" s="3">
        <v>1.2324050632911299E-3</v>
      </c>
      <c r="I467" s="101">
        <v>1</v>
      </c>
      <c r="J467" s="4" t="s">
        <v>10</v>
      </c>
      <c r="K467" s="1" t="s">
        <v>11</v>
      </c>
      <c r="L467" s="1" t="s">
        <v>12</v>
      </c>
    </row>
    <row r="468" spans="1:12" x14ac:dyDescent="0.2">
      <c r="A468" s="65">
        <v>67</v>
      </c>
      <c r="B468" s="66" t="s">
        <v>313</v>
      </c>
      <c r="C468" s="2" t="s">
        <v>7</v>
      </c>
      <c r="D468" s="1" t="s">
        <v>20</v>
      </c>
      <c r="E468" s="2" t="s">
        <v>7</v>
      </c>
      <c r="F468" s="1" t="s">
        <v>8</v>
      </c>
      <c r="G468" s="70">
        <f>0.01*1000</f>
        <v>10</v>
      </c>
      <c r="H468" s="3">
        <v>5.32113924050633E-3</v>
      </c>
      <c r="I468" s="101">
        <v>4.3176869350863107</v>
      </c>
      <c r="J468" s="4" t="s">
        <v>10</v>
      </c>
      <c r="K468" s="1" t="s">
        <v>13</v>
      </c>
      <c r="L468" s="1" t="s">
        <v>14</v>
      </c>
    </row>
    <row r="469" spans="1:12" x14ac:dyDescent="0.2">
      <c r="A469" s="65">
        <v>67</v>
      </c>
      <c r="B469" s="66" t="s">
        <v>313</v>
      </c>
      <c r="C469" s="2" t="s">
        <v>7</v>
      </c>
      <c r="D469" s="1" t="s">
        <v>20</v>
      </c>
      <c r="E469" s="2" t="s">
        <v>7</v>
      </c>
      <c r="F469" s="1" t="s">
        <v>8</v>
      </c>
      <c r="G469" s="70">
        <f>0.1*1000</f>
        <v>100</v>
      </c>
      <c r="H469" s="3">
        <v>5.4813164556962004E-3</v>
      </c>
      <c r="I469" s="101">
        <v>4.4476581758422666</v>
      </c>
      <c r="J469" s="4" t="s">
        <v>10</v>
      </c>
      <c r="K469" s="1" t="s">
        <v>13</v>
      </c>
      <c r="L469" s="1" t="s">
        <v>14</v>
      </c>
    </row>
    <row r="470" spans="1:12" x14ac:dyDescent="0.2">
      <c r="A470" s="65">
        <v>67</v>
      </c>
      <c r="B470" s="66" t="s">
        <v>313</v>
      </c>
      <c r="C470" s="2" t="s">
        <v>7</v>
      </c>
      <c r="D470" s="1" t="s">
        <v>20</v>
      </c>
      <c r="E470" s="2" t="s">
        <v>7</v>
      </c>
      <c r="F470" s="1" t="s">
        <v>8</v>
      </c>
      <c r="G470" s="70">
        <v>500</v>
      </c>
      <c r="H470" s="3">
        <v>5.7426582278481001E-3</v>
      </c>
      <c r="I470" s="101">
        <v>4.6597165160230416</v>
      </c>
      <c r="J470" s="4" t="s">
        <v>10</v>
      </c>
      <c r="K470" s="1" t="s">
        <v>13</v>
      </c>
      <c r="L470" s="1" t="s">
        <v>14</v>
      </c>
    </row>
    <row r="471" spans="1:12" x14ac:dyDescent="0.2">
      <c r="A471" s="65">
        <v>67</v>
      </c>
      <c r="B471" s="66" t="s">
        <v>262</v>
      </c>
      <c r="C471" s="2" t="s">
        <v>7</v>
      </c>
      <c r="D471" s="1" t="s">
        <v>20</v>
      </c>
      <c r="E471" s="2" t="s">
        <v>7</v>
      </c>
      <c r="F471" s="1" t="s">
        <v>8</v>
      </c>
      <c r="G471" s="70">
        <v>0</v>
      </c>
      <c r="H471" s="3">
        <v>1.2324050632911299E-3</v>
      </c>
      <c r="I471" s="101">
        <v>1</v>
      </c>
      <c r="J471" s="4" t="s">
        <v>10</v>
      </c>
      <c r="K471" s="1" t="s">
        <v>11</v>
      </c>
      <c r="L471" s="1" t="s">
        <v>12</v>
      </c>
    </row>
    <row r="472" spans="1:12" x14ac:dyDescent="0.2">
      <c r="A472" s="65">
        <v>67</v>
      </c>
      <c r="B472" s="66" t="s">
        <v>262</v>
      </c>
      <c r="C472" s="2" t="s">
        <v>7</v>
      </c>
      <c r="D472" s="1" t="s">
        <v>20</v>
      </c>
      <c r="E472" s="2" t="s">
        <v>7</v>
      </c>
      <c r="F472" s="1" t="s">
        <v>8</v>
      </c>
      <c r="G472" s="70">
        <f>0.01*1000</f>
        <v>10</v>
      </c>
      <c r="H472" s="3">
        <v>2.0670126582278399E-3</v>
      </c>
      <c r="I472" s="101">
        <v>1.6772185702547306</v>
      </c>
      <c r="J472" s="4" t="s">
        <v>10</v>
      </c>
      <c r="K472" s="1" t="s">
        <v>13</v>
      </c>
      <c r="L472" s="1" t="s">
        <v>14</v>
      </c>
    </row>
    <row r="473" spans="1:12" x14ac:dyDescent="0.2">
      <c r="A473" s="65">
        <v>67</v>
      </c>
      <c r="B473" s="66" t="s">
        <v>262</v>
      </c>
      <c r="C473" s="2" t="s">
        <v>7</v>
      </c>
      <c r="D473" s="1" t="s">
        <v>20</v>
      </c>
      <c r="E473" s="2" t="s">
        <v>7</v>
      </c>
      <c r="F473" s="1" t="s">
        <v>8</v>
      </c>
      <c r="G473" s="70">
        <f>0.1*1000</f>
        <v>100</v>
      </c>
      <c r="H473" s="3">
        <v>2.5391139240506298E-3</v>
      </c>
      <c r="I473" s="101">
        <v>2.0602917009038748</v>
      </c>
      <c r="J473" s="4" t="s">
        <v>10</v>
      </c>
      <c r="K473" s="1" t="s">
        <v>13</v>
      </c>
      <c r="L473" s="1" t="s">
        <v>14</v>
      </c>
    </row>
    <row r="474" spans="1:12" x14ac:dyDescent="0.2">
      <c r="A474" s="65">
        <v>67</v>
      </c>
      <c r="B474" s="66" t="s">
        <v>262</v>
      </c>
      <c r="C474" s="2" t="s">
        <v>7</v>
      </c>
      <c r="D474" s="1" t="s">
        <v>20</v>
      </c>
      <c r="E474" s="2" t="s">
        <v>7</v>
      </c>
      <c r="F474" s="1" t="s">
        <v>8</v>
      </c>
      <c r="G474" s="70">
        <v>500</v>
      </c>
      <c r="H474" s="3">
        <v>2.8341772151898701E-3</v>
      </c>
      <c r="I474" s="101">
        <v>2.2997124075595874</v>
      </c>
      <c r="J474" s="4" t="s">
        <v>10</v>
      </c>
      <c r="K474" s="1" t="s">
        <v>13</v>
      </c>
      <c r="L474" s="1" t="s">
        <v>14</v>
      </c>
    </row>
    <row r="475" spans="1:12" x14ac:dyDescent="0.2">
      <c r="A475" s="65">
        <v>67</v>
      </c>
      <c r="B475" s="66" t="s">
        <v>257</v>
      </c>
      <c r="C475" s="2" t="s">
        <v>7</v>
      </c>
      <c r="D475" s="1" t="s">
        <v>20</v>
      </c>
      <c r="E475" s="2" t="s">
        <v>7</v>
      </c>
      <c r="F475" s="1" t="s">
        <v>8</v>
      </c>
      <c r="G475" s="70">
        <v>0</v>
      </c>
      <c r="H475" s="3">
        <v>1.25394094993581E-3</v>
      </c>
      <c r="I475" s="101">
        <v>1</v>
      </c>
      <c r="J475" s="4" t="s">
        <v>10</v>
      </c>
      <c r="K475" s="1" t="s">
        <v>11</v>
      </c>
      <c r="L475" s="1" t="s">
        <v>12</v>
      </c>
    </row>
    <row r="476" spans="1:12" x14ac:dyDescent="0.2">
      <c r="A476" s="65">
        <v>67</v>
      </c>
      <c r="B476" s="66" t="s">
        <v>257</v>
      </c>
      <c r="C476" s="2" t="s">
        <v>7</v>
      </c>
      <c r="D476" s="1" t="s">
        <v>20</v>
      </c>
      <c r="E476" s="2" t="s">
        <v>7</v>
      </c>
      <c r="F476" s="1" t="s">
        <v>8</v>
      </c>
      <c r="G476" s="70">
        <f>1000*0.01</f>
        <v>10</v>
      </c>
      <c r="H476" s="3">
        <v>3.53022464698331E-3</v>
      </c>
      <c r="I476" s="101">
        <v>2.8153037407096599</v>
      </c>
      <c r="J476" s="4" t="s">
        <v>10</v>
      </c>
      <c r="K476" s="1" t="s">
        <v>13</v>
      </c>
      <c r="L476" s="1" t="s">
        <v>16</v>
      </c>
    </row>
    <row r="477" spans="1:12" x14ac:dyDescent="0.2">
      <c r="A477" s="65">
        <v>67</v>
      </c>
      <c r="B477" s="66" t="s">
        <v>257</v>
      </c>
      <c r="C477" s="2" t="s">
        <v>7</v>
      </c>
      <c r="D477" s="1" t="s">
        <v>20</v>
      </c>
      <c r="E477" s="2" t="s">
        <v>7</v>
      </c>
      <c r="F477" s="1" t="s">
        <v>8</v>
      </c>
      <c r="G477" s="70">
        <f>0.5*1000</f>
        <v>500</v>
      </c>
      <c r="H477" s="3">
        <v>5.1011810012836899E-3</v>
      </c>
      <c r="I477" s="101">
        <v>4.0681189983825172</v>
      </c>
      <c r="J477" s="4" t="s">
        <v>10</v>
      </c>
      <c r="K477" s="1" t="s">
        <v>13</v>
      </c>
      <c r="L477" s="1" t="s">
        <v>16</v>
      </c>
    </row>
    <row r="478" spans="1:12" x14ac:dyDescent="0.2">
      <c r="A478" s="65">
        <v>67</v>
      </c>
      <c r="B478" s="66" t="s">
        <v>258</v>
      </c>
      <c r="C478" s="2" t="s">
        <v>7</v>
      </c>
      <c r="D478" s="1" t="s">
        <v>20</v>
      </c>
      <c r="E478" s="2" t="s">
        <v>7</v>
      </c>
      <c r="F478" s="1" t="s">
        <v>8</v>
      </c>
      <c r="G478" s="70">
        <v>0</v>
      </c>
      <c r="H478" s="3">
        <v>1.25394094993581E-3</v>
      </c>
      <c r="I478" s="101">
        <v>1</v>
      </c>
      <c r="J478" s="4" t="s">
        <v>10</v>
      </c>
      <c r="K478" s="1" t="s">
        <v>11</v>
      </c>
      <c r="L478" s="1" t="s">
        <v>12</v>
      </c>
    </row>
    <row r="479" spans="1:12" x14ac:dyDescent="0.2">
      <c r="A479" s="65">
        <v>67</v>
      </c>
      <c r="B479" s="66" t="s">
        <v>258</v>
      </c>
      <c r="C479" s="2" t="s">
        <v>7</v>
      </c>
      <c r="D479" s="1" t="s">
        <v>20</v>
      </c>
      <c r="E479" s="2" t="s">
        <v>7</v>
      </c>
      <c r="F479" s="1" t="s">
        <v>8</v>
      </c>
      <c r="G479" s="70">
        <f>1000*0.01</f>
        <v>10</v>
      </c>
      <c r="H479" s="3">
        <v>6.3771822849807399E-3</v>
      </c>
      <c r="I479" s="101">
        <v>5.0857117995127217</v>
      </c>
      <c r="J479" s="4" t="s">
        <v>10</v>
      </c>
      <c r="K479" s="1" t="s">
        <v>13</v>
      </c>
      <c r="L479" s="1" t="s">
        <v>16</v>
      </c>
    </row>
    <row r="480" spans="1:12" x14ac:dyDescent="0.2">
      <c r="A480" s="65">
        <v>67</v>
      </c>
      <c r="B480" s="66" t="s">
        <v>258</v>
      </c>
      <c r="C480" s="2" t="s">
        <v>7</v>
      </c>
      <c r="D480" s="1" t="s">
        <v>20</v>
      </c>
      <c r="E480" s="2" t="s">
        <v>7</v>
      </c>
      <c r="F480" s="1" t="s">
        <v>8</v>
      </c>
      <c r="G480" s="70">
        <f>0.5*1000</f>
        <v>500</v>
      </c>
      <c r="H480" s="3">
        <v>6.9735044929396597E-3</v>
      </c>
      <c r="I480" s="101">
        <v>5.561270244262011</v>
      </c>
      <c r="J480" s="4" t="s">
        <v>10</v>
      </c>
      <c r="K480" s="1" t="s">
        <v>13</v>
      </c>
      <c r="L480" s="1" t="s">
        <v>16</v>
      </c>
    </row>
    <row r="481" spans="1:12" x14ac:dyDescent="0.2">
      <c r="A481" s="65">
        <v>67</v>
      </c>
      <c r="B481" s="66" t="s">
        <v>72</v>
      </c>
      <c r="C481" s="2" t="s">
        <v>7</v>
      </c>
      <c r="D481" s="1" t="s">
        <v>20</v>
      </c>
      <c r="E481" s="2" t="s">
        <v>21</v>
      </c>
      <c r="G481" s="70">
        <v>0</v>
      </c>
      <c r="H481" s="3">
        <v>3.3350253807106598E-6</v>
      </c>
      <c r="I481" s="101">
        <v>1</v>
      </c>
      <c r="J481" s="4">
        <v>1</v>
      </c>
      <c r="K481" s="1" t="s">
        <v>11</v>
      </c>
      <c r="L481" s="1" t="s">
        <v>12</v>
      </c>
    </row>
    <row r="482" spans="1:12" x14ac:dyDescent="0.2">
      <c r="A482" s="65">
        <v>67</v>
      </c>
      <c r="B482" s="66" t="s">
        <v>72</v>
      </c>
      <c r="C482" s="2" t="s">
        <v>7</v>
      </c>
      <c r="D482" s="1" t="s">
        <v>20</v>
      </c>
      <c r="E482" s="2" t="s">
        <v>21</v>
      </c>
      <c r="G482" s="70">
        <v>1</v>
      </c>
      <c r="H482" s="67">
        <v>7.3333333333333331E-6</v>
      </c>
      <c r="I482" s="101">
        <v>2.1988838153221715</v>
      </c>
      <c r="J482" s="4">
        <v>2.1765601217656014</v>
      </c>
      <c r="K482" s="1" t="s">
        <v>13</v>
      </c>
      <c r="L482" s="1" t="s">
        <v>16</v>
      </c>
    </row>
    <row r="483" spans="1:12" x14ac:dyDescent="0.2">
      <c r="A483" s="65">
        <v>67</v>
      </c>
      <c r="B483" s="66" t="s">
        <v>72</v>
      </c>
      <c r="C483" s="2" t="s">
        <v>7</v>
      </c>
      <c r="D483" s="1" t="s">
        <v>20</v>
      </c>
      <c r="E483" s="2" t="s">
        <v>21</v>
      </c>
      <c r="G483" s="70">
        <v>10</v>
      </c>
      <c r="H483" s="67">
        <v>1.9371727748691101E-5</v>
      </c>
      <c r="I483" s="101">
        <v>5.8085698120123999</v>
      </c>
      <c r="J483" s="4">
        <v>5.9344364249357628</v>
      </c>
      <c r="K483" s="1" t="s">
        <v>13</v>
      </c>
      <c r="L483" s="1" t="s">
        <v>14</v>
      </c>
    </row>
    <row r="484" spans="1:12" x14ac:dyDescent="0.2">
      <c r="A484" s="65">
        <v>67</v>
      </c>
      <c r="B484" s="66" t="s">
        <v>72</v>
      </c>
      <c r="C484" s="2" t="s">
        <v>7</v>
      </c>
      <c r="D484" s="1" t="s">
        <v>20</v>
      </c>
      <c r="E484" s="2" t="s">
        <v>21</v>
      </c>
      <c r="G484" s="70">
        <v>100</v>
      </c>
      <c r="H484" s="67">
        <v>4.387978142076502E-5</v>
      </c>
      <c r="I484" s="101">
        <v>13.157255616272009</v>
      </c>
      <c r="J484" s="4">
        <v>13.458177278401998</v>
      </c>
      <c r="K484" s="1" t="s">
        <v>13</v>
      </c>
      <c r="L484" s="1" t="s">
        <v>14</v>
      </c>
    </row>
    <row r="485" spans="1:12" x14ac:dyDescent="0.2">
      <c r="A485" s="65">
        <v>67</v>
      </c>
      <c r="B485" s="66" t="s">
        <v>72</v>
      </c>
      <c r="C485" s="2" t="s">
        <v>7</v>
      </c>
      <c r="D485" s="1" t="s">
        <v>20</v>
      </c>
      <c r="E485" s="2" t="s">
        <v>21</v>
      </c>
      <c r="G485" s="70">
        <v>500</v>
      </c>
      <c r="H485" s="67">
        <v>5.270718232044199E-5</v>
      </c>
      <c r="I485" s="101">
        <v>15.804132293952925</v>
      </c>
      <c r="J485" s="4">
        <v>16.356479294599275</v>
      </c>
      <c r="K485" s="1" t="s">
        <v>13</v>
      </c>
      <c r="L485" s="1" t="s">
        <v>14</v>
      </c>
    </row>
    <row r="486" spans="1:12" x14ac:dyDescent="0.2">
      <c r="A486" s="65">
        <v>67</v>
      </c>
      <c r="B486" s="66" t="s">
        <v>72</v>
      </c>
      <c r="C486" s="2" t="s">
        <v>7</v>
      </c>
      <c r="D486" s="1" t="s">
        <v>20</v>
      </c>
      <c r="E486" s="2" t="s">
        <v>21</v>
      </c>
      <c r="G486" s="70">
        <v>2500</v>
      </c>
      <c r="H486" s="67">
        <v>2.4590163934426235E-5</v>
      </c>
      <c r="I486" s="101">
        <v>7.3733063852084753</v>
      </c>
      <c r="J486" s="4">
        <v>12.529680365296803</v>
      </c>
      <c r="K486" s="1" t="s">
        <v>13</v>
      </c>
      <c r="L486" s="1" t="s">
        <v>12</v>
      </c>
    </row>
    <row r="487" spans="1:12" x14ac:dyDescent="0.2">
      <c r="A487" s="65">
        <v>67</v>
      </c>
      <c r="B487" s="66" t="s">
        <v>72</v>
      </c>
      <c r="C487" s="2" t="s">
        <v>7</v>
      </c>
      <c r="D487" s="1" t="s">
        <v>20</v>
      </c>
      <c r="E487" s="2" t="s">
        <v>7</v>
      </c>
      <c r="F487" s="1" t="s">
        <v>8</v>
      </c>
      <c r="G487" s="70">
        <v>0</v>
      </c>
      <c r="H487" s="67">
        <v>2.0656565656565655E-5</v>
      </c>
      <c r="I487" s="101">
        <v>1</v>
      </c>
      <c r="J487" s="4">
        <v>1</v>
      </c>
      <c r="K487" s="1" t="s">
        <v>15</v>
      </c>
      <c r="L487" s="1" t="s">
        <v>12</v>
      </c>
    </row>
    <row r="488" spans="1:12" x14ac:dyDescent="0.2">
      <c r="A488" s="65">
        <v>67</v>
      </c>
      <c r="B488" s="66" t="s">
        <v>72</v>
      </c>
      <c r="C488" s="2" t="s">
        <v>7</v>
      </c>
      <c r="D488" s="1" t="s">
        <v>20</v>
      </c>
      <c r="E488" s="2" t="s">
        <v>7</v>
      </c>
      <c r="F488" s="1" t="s">
        <v>8</v>
      </c>
      <c r="G488" s="70">
        <v>1</v>
      </c>
      <c r="H488" s="67">
        <v>4.6020408163265308E-4</v>
      </c>
      <c r="I488" s="101">
        <v>22.278828401776362</v>
      </c>
      <c r="J488" s="4">
        <v>22.165737902274955</v>
      </c>
      <c r="K488" s="1" t="s">
        <v>15</v>
      </c>
      <c r="L488" s="1" t="s">
        <v>12</v>
      </c>
    </row>
    <row r="489" spans="1:12" x14ac:dyDescent="0.2">
      <c r="A489" s="65">
        <v>67</v>
      </c>
      <c r="B489" s="66" t="s">
        <v>72</v>
      </c>
      <c r="C489" s="2" t="s">
        <v>7</v>
      </c>
      <c r="D489" s="1" t="s">
        <v>20</v>
      </c>
      <c r="E489" s="2" t="s">
        <v>7</v>
      </c>
      <c r="F489" s="1" t="s">
        <v>8</v>
      </c>
      <c r="G489" s="70">
        <v>10</v>
      </c>
      <c r="H489" s="67">
        <v>1.1693121693121694E-3</v>
      </c>
      <c r="I489" s="101">
        <v>56.607288392129476</v>
      </c>
      <c r="J489" s="4">
        <v>56.607288392129476</v>
      </c>
      <c r="K489" s="1" t="s">
        <v>15</v>
      </c>
      <c r="L489" s="1" t="s">
        <v>16</v>
      </c>
    </row>
    <row r="490" spans="1:12" x14ac:dyDescent="0.2">
      <c r="A490" s="65">
        <v>67</v>
      </c>
      <c r="B490" s="66" t="s">
        <v>72</v>
      </c>
      <c r="C490" s="2" t="s">
        <v>7</v>
      </c>
      <c r="D490" s="1" t="s">
        <v>20</v>
      </c>
      <c r="E490" s="2" t="s">
        <v>7</v>
      </c>
      <c r="F490" s="1" t="s">
        <v>8</v>
      </c>
      <c r="G490" s="70">
        <v>100</v>
      </c>
      <c r="H490" s="67">
        <v>1.5082872928176795E-3</v>
      </c>
      <c r="I490" s="101">
        <v>73.017331045941461</v>
      </c>
      <c r="J490" s="4">
        <v>72.616136919315409</v>
      </c>
      <c r="K490" s="1" t="s">
        <v>13</v>
      </c>
      <c r="L490" s="1" t="s">
        <v>14</v>
      </c>
    </row>
    <row r="491" spans="1:12" x14ac:dyDescent="0.2">
      <c r="A491" s="65">
        <v>67</v>
      </c>
      <c r="B491" s="66" t="s">
        <v>72</v>
      </c>
      <c r="C491" s="2" t="s">
        <v>7</v>
      </c>
      <c r="D491" s="1" t="s">
        <v>20</v>
      </c>
      <c r="E491" s="2" t="s">
        <v>7</v>
      </c>
      <c r="F491" s="1" t="s">
        <v>8</v>
      </c>
      <c r="G491" s="70">
        <v>500</v>
      </c>
      <c r="H491" s="67">
        <v>1.8156424581005587E-3</v>
      </c>
      <c r="I491" s="101">
        <v>87.896627555968379</v>
      </c>
      <c r="J491" s="4">
        <v>86.447782046804051</v>
      </c>
      <c r="K491" s="1" t="s">
        <v>13</v>
      </c>
      <c r="L491" s="1" t="s">
        <v>14</v>
      </c>
    </row>
    <row r="492" spans="1:12" x14ac:dyDescent="0.2">
      <c r="A492" s="65">
        <v>67</v>
      </c>
      <c r="B492" s="66" t="s">
        <v>72</v>
      </c>
      <c r="C492" s="2" t="s">
        <v>7</v>
      </c>
      <c r="D492" s="1" t="s">
        <v>20</v>
      </c>
      <c r="E492" s="2" t="s">
        <v>7</v>
      </c>
      <c r="F492" s="1" t="s">
        <v>8</v>
      </c>
      <c r="G492" s="70">
        <v>2500</v>
      </c>
      <c r="H492" s="67">
        <v>1.3604060913705585E-3</v>
      </c>
      <c r="I492" s="101">
        <v>65.858289997890125</v>
      </c>
      <c r="J492" s="4">
        <v>66.70479758141056</v>
      </c>
      <c r="K492" s="1" t="s">
        <v>13</v>
      </c>
      <c r="L492" s="1" t="s">
        <v>12</v>
      </c>
    </row>
    <row r="493" spans="1:12" x14ac:dyDescent="0.2">
      <c r="A493" s="65">
        <v>58</v>
      </c>
      <c r="B493" s="66" t="s">
        <v>24</v>
      </c>
      <c r="C493" s="2" t="s">
        <v>7</v>
      </c>
      <c r="D493" s="1" t="s">
        <v>48</v>
      </c>
      <c r="E493" s="2" t="s">
        <v>7</v>
      </c>
      <c r="F493" s="1" t="s">
        <v>9</v>
      </c>
      <c r="G493" s="70">
        <v>0</v>
      </c>
      <c r="H493" s="67">
        <v>6.7924528301886594E-5</v>
      </c>
      <c r="I493" s="101">
        <v>1</v>
      </c>
      <c r="J493" s="4" t="s">
        <v>10</v>
      </c>
      <c r="K493" s="1" t="s">
        <v>11</v>
      </c>
      <c r="L493" s="1" t="s">
        <v>12</v>
      </c>
    </row>
    <row r="494" spans="1:12" x14ac:dyDescent="0.2">
      <c r="A494" s="65">
        <v>58</v>
      </c>
      <c r="B494" s="66" t="s">
        <v>24</v>
      </c>
      <c r="C494" s="2" t="s">
        <v>7</v>
      </c>
      <c r="D494" s="1" t="s">
        <v>48</v>
      </c>
      <c r="E494" s="2" t="s">
        <v>7</v>
      </c>
      <c r="F494" s="1" t="s">
        <v>9</v>
      </c>
      <c r="G494" s="70">
        <v>0.05</v>
      </c>
      <c r="H494" s="3">
        <v>2.7295597484276702E-4</v>
      </c>
      <c r="I494" s="101">
        <v>4.0185185185185262</v>
      </c>
      <c r="J494" s="4" t="s">
        <v>10</v>
      </c>
      <c r="K494" s="1" t="s">
        <v>13</v>
      </c>
      <c r="L494" s="1" t="s">
        <v>14</v>
      </c>
    </row>
    <row r="495" spans="1:12" x14ac:dyDescent="0.2">
      <c r="A495" s="65">
        <v>58</v>
      </c>
      <c r="B495" s="66" t="s">
        <v>24</v>
      </c>
      <c r="C495" s="2" t="s">
        <v>7</v>
      </c>
      <c r="D495" s="1" t="s">
        <v>48</v>
      </c>
      <c r="E495" s="2" t="s">
        <v>7</v>
      </c>
      <c r="F495" s="1" t="s">
        <v>9</v>
      </c>
      <c r="G495" s="70">
        <v>0.5</v>
      </c>
      <c r="H495" s="3">
        <v>2.81761006289308E-4</v>
      </c>
      <c r="I495" s="101">
        <v>4.1481481481481577</v>
      </c>
      <c r="J495" s="4" t="s">
        <v>10</v>
      </c>
      <c r="K495" s="1" t="s">
        <v>13</v>
      </c>
      <c r="L495" s="1" t="s">
        <v>14</v>
      </c>
    </row>
    <row r="496" spans="1:12" x14ac:dyDescent="0.2">
      <c r="A496" s="65">
        <v>58</v>
      </c>
      <c r="B496" s="66" t="s">
        <v>24</v>
      </c>
      <c r="C496" s="2" t="s">
        <v>7</v>
      </c>
      <c r="D496" s="1" t="s">
        <v>48</v>
      </c>
      <c r="E496" s="2" t="s">
        <v>7</v>
      </c>
      <c r="F496" s="1" t="s">
        <v>9</v>
      </c>
      <c r="G496" s="70">
        <v>5</v>
      </c>
      <c r="H496" s="3">
        <v>2.7421383647798701E-4</v>
      </c>
      <c r="I496" s="101">
        <v>4.0370370370370425</v>
      </c>
      <c r="J496" s="4" t="s">
        <v>10</v>
      </c>
      <c r="K496" s="1" t="s">
        <v>13</v>
      </c>
      <c r="L496" s="1" t="s">
        <v>14</v>
      </c>
    </row>
    <row r="497" spans="1:12" x14ac:dyDescent="0.2">
      <c r="A497" s="65">
        <v>58</v>
      </c>
      <c r="B497" s="66" t="s">
        <v>24</v>
      </c>
      <c r="C497" s="2" t="s">
        <v>7</v>
      </c>
      <c r="D497" s="1" t="s">
        <v>48</v>
      </c>
      <c r="E497" s="2" t="s">
        <v>7</v>
      </c>
      <c r="F497" s="1" t="s">
        <v>9</v>
      </c>
      <c r="G497" s="70">
        <v>10</v>
      </c>
      <c r="H497" s="3">
        <v>2.6540880503144598E-4</v>
      </c>
      <c r="I497" s="101">
        <v>3.9074074074074105</v>
      </c>
      <c r="J497" s="4" t="s">
        <v>10</v>
      </c>
      <c r="K497" s="1" t="s">
        <v>13</v>
      </c>
      <c r="L497" s="1" t="s">
        <v>14</v>
      </c>
    </row>
    <row r="498" spans="1:12" x14ac:dyDescent="0.2">
      <c r="A498" s="65">
        <v>58</v>
      </c>
      <c r="B498" s="66" t="s">
        <v>24</v>
      </c>
      <c r="C498" s="2" t="s">
        <v>7</v>
      </c>
      <c r="D498" s="1" t="s">
        <v>48</v>
      </c>
      <c r="E498" s="2" t="s">
        <v>7</v>
      </c>
      <c r="F498" s="1" t="s">
        <v>9</v>
      </c>
      <c r="G498" s="70">
        <v>12.5</v>
      </c>
      <c r="H498" s="3">
        <v>4.50314465408804E-4</v>
      </c>
      <c r="I498" s="101">
        <v>6.6296296296296333</v>
      </c>
      <c r="J498" s="4" t="s">
        <v>10</v>
      </c>
      <c r="K498" s="1" t="s">
        <v>13</v>
      </c>
      <c r="L498" s="1" t="s">
        <v>14</v>
      </c>
    </row>
    <row r="499" spans="1:12" x14ac:dyDescent="0.2">
      <c r="A499" s="65">
        <v>58</v>
      </c>
      <c r="B499" s="66" t="s">
        <v>24</v>
      </c>
      <c r="C499" s="2" t="s">
        <v>7</v>
      </c>
      <c r="D499" s="1" t="s">
        <v>48</v>
      </c>
      <c r="E499" s="2" t="s">
        <v>7</v>
      </c>
      <c r="F499" s="1" t="s">
        <v>9</v>
      </c>
      <c r="G499" s="70">
        <v>25</v>
      </c>
      <c r="H499" s="3">
        <v>5.10691823899371E-4</v>
      </c>
      <c r="I499" s="101">
        <v>7.5185185185185395</v>
      </c>
      <c r="J499" s="4" t="s">
        <v>10</v>
      </c>
      <c r="K499" s="1" t="s">
        <v>13</v>
      </c>
      <c r="L499" s="1" t="s">
        <v>16</v>
      </c>
    </row>
    <row r="500" spans="1:12" x14ac:dyDescent="0.2">
      <c r="A500" s="65">
        <v>58</v>
      </c>
      <c r="B500" s="66" t="s">
        <v>24</v>
      </c>
      <c r="C500" s="2" t="s">
        <v>7</v>
      </c>
      <c r="D500" s="1" t="s">
        <v>48</v>
      </c>
      <c r="E500" s="2" t="s">
        <v>7</v>
      </c>
      <c r="F500" s="1" t="s">
        <v>9</v>
      </c>
      <c r="G500" s="70">
        <v>50</v>
      </c>
      <c r="H500" s="3">
        <v>6.2012578616352102E-4</v>
      </c>
      <c r="I500" s="101">
        <v>9.1296296296296422</v>
      </c>
      <c r="J500" s="4" t="s">
        <v>10</v>
      </c>
      <c r="K500" s="1" t="s">
        <v>13</v>
      </c>
      <c r="L500" s="1" t="s">
        <v>14</v>
      </c>
    </row>
    <row r="501" spans="1:12" x14ac:dyDescent="0.2">
      <c r="A501" s="65">
        <v>58</v>
      </c>
      <c r="B501" s="66" t="s">
        <v>24</v>
      </c>
      <c r="C501" s="2" t="s">
        <v>7</v>
      </c>
      <c r="D501" s="1" t="s">
        <v>48</v>
      </c>
      <c r="E501" s="2" t="s">
        <v>25</v>
      </c>
      <c r="F501" s="1" t="s">
        <v>26</v>
      </c>
      <c r="G501" s="70">
        <v>0</v>
      </c>
      <c r="H501" s="3">
        <v>2.8199052132702298E-6</v>
      </c>
      <c r="I501" s="101">
        <v>1</v>
      </c>
      <c r="J501" s="4" t="s">
        <v>10</v>
      </c>
      <c r="K501" s="1" t="s">
        <v>11</v>
      </c>
      <c r="L501" s="1" t="s">
        <v>12</v>
      </c>
    </row>
    <row r="502" spans="1:12" x14ac:dyDescent="0.2">
      <c r="A502" s="65">
        <v>58</v>
      </c>
      <c r="B502" s="66" t="s">
        <v>24</v>
      </c>
      <c r="C502" s="2" t="s">
        <v>7</v>
      </c>
      <c r="D502" s="1" t="s">
        <v>48</v>
      </c>
      <c r="E502" s="2" t="s">
        <v>25</v>
      </c>
      <c r="F502" s="1" t="s">
        <v>26</v>
      </c>
      <c r="G502" s="70">
        <v>0.05</v>
      </c>
      <c r="H502" s="3">
        <v>1.2985781990521299E-5</v>
      </c>
      <c r="I502" s="101">
        <v>4.6050420168065695</v>
      </c>
      <c r="J502" s="4" t="s">
        <v>10</v>
      </c>
      <c r="K502" s="1" t="s">
        <v>13</v>
      </c>
      <c r="L502" s="1" t="s">
        <v>14</v>
      </c>
    </row>
    <row r="503" spans="1:12" x14ac:dyDescent="0.2">
      <c r="A503" s="65">
        <v>58</v>
      </c>
      <c r="B503" s="66" t="s">
        <v>24</v>
      </c>
      <c r="C503" s="2" t="s">
        <v>7</v>
      </c>
      <c r="D503" s="1" t="s">
        <v>48</v>
      </c>
      <c r="E503" s="2" t="s">
        <v>25</v>
      </c>
      <c r="F503" s="1" t="s">
        <v>26</v>
      </c>
      <c r="G503" s="70">
        <v>0.5</v>
      </c>
      <c r="H503" s="3">
        <v>9.2890995260663997E-6</v>
      </c>
      <c r="I503" s="101">
        <v>3.2941176470587386</v>
      </c>
      <c r="J503" s="4" t="s">
        <v>10</v>
      </c>
      <c r="K503" s="1" t="s">
        <v>13</v>
      </c>
      <c r="L503" s="1" t="s">
        <v>14</v>
      </c>
    </row>
    <row r="504" spans="1:12" x14ac:dyDescent="0.2">
      <c r="A504" s="65">
        <v>58</v>
      </c>
      <c r="B504" s="66" t="s">
        <v>24</v>
      </c>
      <c r="C504" s="2" t="s">
        <v>7</v>
      </c>
      <c r="D504" s="1" t="s">
        <v>48</v>
      </c>
      <c r="E504" s="2" t="s">
        <v>25</v>
      </c>
      <c r="F504" s="1" t="s">
        <v>26</v>
      </c>
      <c r="G504" s="70">
        <v>5</v>
      </c>
      <c r="H504" s="3">
        <v>1.5260663507108901E-5</v>
      </c>
      <c r="I504" s="101">
        <v>5.4117647058821481</v>
      </c>
      <c r="J504" s="4" t="s">
        <v>10</v>
      </c>
      <c r="K504" s="1" t="s">
        <v>13</v>
      </c>
      <c r="L504" s="1" t="s">
        <v>14</v>
      </c>
    </row>
    <row r="505" spans="1:12" x14ac:dyDescent="0.2">
      <c r="A505" s="65">
        <v>58</v>
      </c>
      <c r="B505" s="66" t="s">
        <v>24</v>
      </c>
      <c r="C505" s="2" t="s">
        <v>7</v>
      </c>
      <c r="D505" s="1" t="s">
        <v>48</v>
      </c>
      <c r="E505" s="2" t="s">
        <v>25</v>
      </c>
      <c r="F505" s="1" t="s">
        <v>26</v>
      </c>
      <c r="G505" s="70">
        <v>10</v>
      </c>
      <c r="H505" s="3">
        <v>2.1018957345971501E-5</v>
      </c>
      <c r="I505" s="101">
        <v>7.4537815126047882</v>
      </c>
      <c r="J505" s="4" t="s">
        <v>10</v>
      </c>
      <c r="K505" s="1" t="s">
        <v>13</v>
      </c>
      <c r="L505" s="1" t="s">
        <v>14</v>
      </c>
    </row>
    <row r="506" spans="1:12" x14ac:dyDescent="0.2">
      <c r="A506" s="65">
        <v>58</v>
      </c>
      <c r="B506" s="66" t="s">
        <v>24</v>
      </c>
      <c r="C506" s="2" t="s">
        <v>7</v>
      </c>
      <c r="D506" s="1" t="s">
        <v>48</v>
      </c>
      <c r="E506" s="2" t="s">
        <v>25</v>
      </c>
      <c r="F506" s="1" t="s">
        <v>26</v>
      </c>
      <c r="G506" s="70">
        <v>12.5</v>
      </c>
      <c r="H506" s="3">
        <v>1.36255924170617E-5</v>
      </c>
      <c r="I506" s="101">
        <v>4.8319327731091253</v>
      </c>
      <c r="J506" s="4" t="s">
        <v>10</v>
      </c>
      <c r="K506" s="1" t="s">
        <v>13</v>
      </c>
      <c r="L506" s="1" t="s">
        <v>16</v>
      </c>
    </row>
    <row r="507" spans="1:12" x14ac:dyDescent="0.2">
      <c r="A507" s="65">
        <v>58</v>
      </c>
      <c r="B507" s="66" t="s">
        <v>24</v>
      </c>
      <c r="C507" s="2" t="s">
        <v>7</v>
      </c>
      <c r="D507" s="1" t="s">
        <v>48</v>
      </c>
      <c r="E507" s="2" t="s">
        <v>25</v>
      </c>
      <c r="F507" s="1" t="s">
        <v>26</v>
      </c>
      <c r="G507" s="70">
        <v>25</v>
      </c>
      <c r="H507" s="3">
        <v>1.5118483412322199E-5</v>
      </c>
      <c r="I507" s="101">
        <v>5.3613445378149329</v>
      </c>
      <c r="J507" s="4" t="s">
        <v>10</v>
      </c>
      <c r="K507" s="1" t="s">
        <v>13</v>
      </c>
      <c r="L507" s="1" t="s">
        <v>14</v>
      </c>
    </row>
    <row r="508" spans="1:12" x14ac:dyDescent="0.2">
      <c r="A508" s="65">
        <v>58</v>
      </c>
      <c r="B508" s="66" t="s">
        <v>24</v>
      </c>
      <c r="C508" s="2" t="s">
        <v>7</v>
      </c>
      <c r="D508" s="1" t="s">
        <v>48</v>
      </c>
      <c r="E508" s="2" t="s">
        <v>25</v>
      </c>
      <c r="F508" s="1" t="s">
        <v>26</v>
      </c>
      <c r="G508" s="70">
        <v>50</v>
      </c>
      <c r="H508" s="3">
        <v>3.35308056872037E-5</v>
      </c>
      <c r="I508" s="101">
        <v>11.890756302520606</v>
      </c>
      <c r="J508" s="4" t="s">
        <v>10</v>
      </c>
      <c r="K508" s="1" t="s">
        <v>13</v>
      </c>
      <c r="L508" s="1" t="s">
        <v>14</v>
      </c>
    </row>
    <row r="509" spans="1:12" x14ac:dyDescent="0.2">
      <c r="A509" s="65">
        <v>58</v>
      </c>
      <c r="B509" s="66" t="s">
        <v>24</v>
      </c>
      <c r="C509" s="2" t="s">
        <v>25</v>
      </c>
      <c r="D509" s="1" t="s">
        <v>26</v>
      </c>
      <c r="E509" s="2" t="s">
        <v>7</v>
      </c>
      <c r="F509" s="1" t="s">
        <v>9</v>
      </c>
      <c r="G509" s="70">
        <v>0</v>
      </c>
      <c r="H509" s="3">
        <v>4.6211312700106702E-5</v>
      </c>
      <c r="I509" s="101">
        <v>1</v>
      </c>
      <c r="J509" s="4" t="s">
        <v>10</v>
      </c>
      <c r="K509" s="1" t="s">
        <v>11</v>
      </c>
      <c r="L509" s="1" t="s">
        <v>12</v>
      </c>
    </row>
    <row r="510" spans="1:12" x14ac:dyDescent="0.2">
      <c r="A510" s="65">
        <v>58</v>
      </c>
      <c r="B510" s="66" t="s">
        <v>24</v>
      </c>
      <c r="C510" s="2" t="s">
        <v>25</v>
      </c>
      <c r="D510" s="1" t="s">
        <v>26</v>
      </c>
      <c r="E510" s="2" t="s">
        <v>7</v>
      </c>
      <c r="F510" s="1" t="s">
        <v>9</v>
      </c>
      <c r="G510" s="70">
        <v>0.05</v>
      </c>
      <c r="H510" s="3">
        <v>9.7758804695837804E-5</v>
      </c>
      <c r="I510" s="101">
        <v>2.1154734411085467</v>
      </c>
      <c r="J510" s="4" t="s">
        <v>10</v>
      </c>
      <c r="K510" s="1" t="s">
        <v>13</v>
      </c>
      <c r="L510" s="1" t="s">
        <v>14</v>
      </c>
    </row>
    <row r="511" spans="1:12" x14ac:dyDescent="0.2">
      <c r="A511" s="65">
        <v>58</v>
      </c>
      <c r="B511" s="66" t="s">
        <v>24</v>
      </c>
      <c r="C511" s="2" t="s">
        <v>25</v>
      </c>
      <c r="D511" s="1" t="s">
        <v>26</v>
      </c>
      <c r="E511" s="2" t="s">
        <v>7</v>
      </c>
      <c r="F511" s="1" t="s">
        <v>9</v>
      </c>
      <c r="G511" s="70">
        <v>0.5</v>
      </c>
      <c r="H511" s="3">
        <v>1.65635005336179E-4</v>
      </c>
      <c r="I511" s="101">
        <v>3.5842956120092331</v>
      </c>
      <c r="J511" s="4" t="s">
        <v>10</v>
      </c>
      <c r="K511" s="1" t="s">
        <v>13</v>
      </c>
      <c r="L511" s="1" t="s">
        <v>14</v>
      </c>
    </row>
    <row r="512" spans="1:12" x14ac:dyDescent="0.2">
      <c r="A512" s="65">
        <v>58</v>
      </c>
      <c r="B512" s="66" t="s">
        <v>24</v>
      </c>
      <c r="C512" s="2" t="s">
        <v>25</v>
      </c>
      <c r="D512" s="1" t="s">
        <v>26</v>
      </c>
      <c r="E512" s="2" t="s">
        <v>7</v>
      </c>
      <c r="F512" s="1" t="s">
        <v>9</v>
      </c>
      <c r="G512" s="70">
        <v>5</v>
      </c>
      <c r="H512" s="3">
        <v>2.1045891141942299E-4</v>
      </c>
      <c r="I512" s="101">
        <v>4.554272517321003</v>
      </c>
      <c r="J512" s="4" t="s">
        <v>10</v>
      </c>
      <c r="K512" s="1" t="s">
        <v>13</v>
      </c>
      <c r="L512" s="1" t="s">
        <v>14</v>
      </c>
    </row>
    <row r="513" spans="1:12" x14ac:dyDescent="0.2">
      <c r="A513" s="65">
        <v>58</v>
      </c>
      <c r="B513" s="66" t="s">
        <v>24</v>
      </c>
      <c r="C513" s="2" t="s">
        <v>25</v>
      </c>
      <c r="D513" s="1" t="s">
        <v>26</v>
      </c>
      <c r="E513" s="2" t="s">
        <v>7</v>
      </c>
      <c r="F513" s="1" t="s">
        <v>9</v>
      </c>
      <c r="G513" s="70">
        <v>10</v>
      </c>
      <c r="H513" s="3">
        <v>2.2326574172892199E-4</v>
      </c>
      <c r="I513" s="101">
        <v>4.8314087759815241</v>
      </c>
      <c r="J513" s="4" t="s">
        <v>10</v>
      </c>
      <c r="K513" s="1" t="s">
        <v>13</v>
      </c>
      <c r="L513" s="1" t="s">
        <v>14</v>
      </c>
    </row>
    <row r="514" spans="1:12" x14ac:dyDescent="0.2">
      <c r="A514" s="65">
        <v>58</v>
      </c>
      <c r="B514" s="66" t="s">
        <v>24</v>
      </c>
      <c r="C514" s="2" t="s">
        <v>25</v>
      </c>
      <c r="D514" s="1" t="s">
        <v>26</v>
      </c>
      <c r="E514" s="2" t="s">
        <v>7</v>
      </c>
      <c r="F514" s="1" t="s">
        <v>9</v>
      </c>
      <c r="G514" s="70">
        <v>12.5</v>
      </c>
      <c r="H514" s="3">
        <v>2.5656350053361701E-4</v>
      </c>
      <c r="I514" s="101">
        <v>5.5519630484988278</v>
      </c>
      <c r="J514" s="4" t="s">
        <v>10</v>
      </c>
      <c r="K514" s="1" t="s">
        <v>13</v>
      </c>
      <c r="L514" s="1" t="s">
        <v>14</v>
      </c>
    </row>
    <row r="515" spans="1:12" x14ac:dyDescent="0.2">
      <c r="A515" s="65">
        <v>58</v>
      </c>
      <c r="B515" s="66" t="s">
        <v>24</v>
      </c>
      <c r="C515" s="2" t="s">
        <v>25</v>
      </c>
      <c r="D515" s="1" t="s">
        <v>26</v>
      </c>
      <c r="E515" s="2" t="s">
        <v>7</v>
      </c>
      <c r="F515" s="1" t="s">
        <v>9</v>
      </c>
      <c r="G515" s="70">
        <v>25</v>
      </c>
      <c r="H515" s="3">
        <v>2.41195304162219E-4</v>
      </c>
      <c r="I515" s="101">
        <v>5.2193995381062193</v>
      </c>
      <c r="J515" s="4" t="s">
        <v>10</v>
      </c>
      <c r="K515" s="1" t="s">
        <v>13</v>
      </c>
      <c r="L515" s="1" t="s">
        <v>14</v>
      </c>
    </row>
    <row r="516" spans="1:12" x14ac:dyDescent="0.2">
      <c r="A516" s="65">
        <v>58</v>
      </c>
      <c r="B516" s="66" t="s">
        <v>24</v>
      </c>
      <c r="C516" s="2" t="s">
        <v>25</v>
      </c>
      <c r="D516" s="1" t="s">
        <v>26</v>
      </c>
      <c r="E516" s="2" t="s">
        <v>7</v>
      </c>
      <c r="F516" s="1" t="s">
        <v>9</v>
      </c>
      <c r="G516" s="70">
        <v>50</v>
      </c>
      <c r="H516" s="3">
        <v>3.5901814300960498E-4</v>
      </c>
      <c r="I516" s="101">
        <v>7.7690531177829101</v>
      </c>
      <c r="J516" s="4" t="s">
        <v>10</v>
      </c>
      <c r="K516" s="1" t="s">
        <v>13</v>
      </c>
      <c r="L516" s="1" t="s">
        <v>14</v>
      </c>
    </row>
    <row r="517" spans="1:12" x14ac:dyDescent="0.2">
      <c r="A517" s="65">
        <v>46</v>
      </c>
      <c r="B517" s="66" t="s">
        <v>259</v>
      </c>
      <c r="C517" s="2" t="s">
        <v>7</v>
      </c>
      <c r="E517" s="2" t="s">
        <v>7</v>
      </c>
      <c r="F517" s="1" t="s">
        <v>8</v>
      </c>
      <c r="G517" s="70">
        <v>0</v>
      </c>
      <c r="H517" s="3" t="s">
        <v>10</v>
      </c>
      <c r="I517" s="101">
        <v>1.00735970561177</v>
      </c>
      <c r="J517" s="4" t="s">
        <v>10</v>
      </c>
      <c r="K517" s="1" t="s">
        <v>11</v>
      </c>
      <c r="L517" s="1" t="s">
        <v>12</v>
      </c>
    </row>
    <row r="518" spans="1:12" x14ac:dyDescent="0.2">
      <c r="A518" s="65">
        <v>46</v>
      </c>
      <c r="B518" s="66" t="s">
        <v>259</v>
      </c>
      <c r="C518" s="2" t="s">
        <v>7</v>
      </c>
      <c r="E518" s="2" t="s">
        <v>7</v>
      </c>
      <c r="F518" s="1" t="s">
        <v>8</v>
      </c>
      <c r="G518" s="70">
        <v>1</v>
      </c>
      <c r="H518" s="3" t="s">
        <v>10</v>
      </c>
      <c r="I518" s="101">
        <v>0.49954001839926399</v>
      </c>
      <c r="J518" s="4" t="s">
        <v>10</v>
      </c>
      <c r="K518" s="1" t="s">
        <v>15</v>
      </c>
      <c r="L518" s="1" t="s">
        <v>16</v>
      </c>
    </row>
    <row r="519" spans="1:12" x14ac:dyDescent="0.2">
      <c r="A519" s="65">
        <v>46</v>
      </c>
      <c r="B519" s="66" t="s">
        <v>259</v>
      </c>
      <c r="C519" s="2" t="s">
        <v>7</v>
      </c>
      <c r="E519" s="2" t="s">
        <v>7</v>
      </c>
      <c r="F519" s="1" t="s">
        <v>8</v>
      </c>
      <c r="G519" s="70">
        <v>5</v>
      </c>
      <c r="H519" s="3" t="s">
        <v>10</v>
      </c>
      <c r="I519" s="101">
        <v>0.67617295308187597</v>
      </c>
      <c r="J519" s="4" t="s">
        <v>10</v>
      </c>
      <c r="K519" s="1" t="s">
        <v>15</v>
      </c>
      <c r="L519" s="1" t="s">
        <v>16</v>
      </c>
    </row>
    <row r="520" spans="1:12" x14ac:dyDescent="0.2">
      <c r="A520" s="65">
        <v>46</v>
      </c>
      <c r="B520" s="66" t="s">
        <v>259</v>
      </c>
      <c r="C520" s="2" t="s">
        <v>7</v>
      </c>
      <c r="E520" s="2" t="s">
        <v>7</v>
      </c>
      <c r="F520" s="1" t="s">
        <v>8</v>
      </c>
      <c r="G520" s="70">
        <v>25</v>
      </c>
      <c r="H520" s="3" t="s">
        <v>10</v>
      </c>
      <c r="I520" s="101">
        <v>2.2686292548298002</v>
      </c>
      <c r="J520" s="4" t="s">
        <v>10</v>
      </c>
      <c r="K520" s="1" t="s">
        <v>13</v>
      </c>
      <c r="L520" s="1" t="s">
        <v>16</v>
      </c>
    </row>
    <row r="521" spans="1:12" x14ac:dyDescent="0.2">
      <c r="A521" s="65">
        <v>46</v>
      </c>
      <c r="B521" s="66" t="s">
        <v>259</v>
      </c>
      <c r="C521" s="2" t="s">
        <v>7</v>
      </c>
      <c r="E521" s="2" t="s">
        <v>7</v>
      </c>
      <c r="F521" s="1" t="s">
        <v>8</v>
      </c>
      <c r="G521" s="70">
        <v>50</v>
      </c>
      <c r="H521" s="3" t="s">
        <v>10</v>
      </c>
      <c r="I521" s="101">
        <v>2.8868445262189502</v>
      </c>
      <c r="J521" s="4" t="s">
        <v>10</v>
      </c>
      <c r="K521" s="1" t="s">
        <v>13</v>
      </c>
      <c r="L521" s="1" t="s">
        <v>16</v>
      </c>
    </row>
    <row r="522" spans="1:12" x14ac:dyDescent="0.2">
      <c r="A522" s="65">
        <v>46</v>
      </c>
      <c r="B522" s="66" t="s">
        <v>259</v>
      </c>
      <c r="C522" s="2" t="s">
        <v>7</v>
      </c>
      <c r="E522" s="2" t="s">
        <v>7</v>
      </c>
      <c r="F522" s="1" t="s">
        <v>8</v>
      </c>
      <c r="G522" s="70">
        <v>5</v>
      </c>
      <c r="H522" s="3" t="s">
        <v>10</v>
      </c>
      <c r="I522" s="101">
        <v>1.0156393744250201</v>
      </c>
      <c r="J522" s="4" t="s">
        <v>10</v>
      </c>
      <c r="K522" s="1" t="s">
        <v>11</v>
      </c>
      <c r="L522" s="1" t="s">
        <v>12</v>
      </c>
    </row>
    <row r="523" spans="1:12" x14ac:dyDescent="0.2">
      <c r="A523" s="65">
        <v>73</v>
      </c>
      <c r="B523" s="66" t="s">
        <v>229</v>
      </c>
      <c r="C523" s="2" t="s">
        <v>7</v>
      </c>
      <c r="D523" s="1" t="s">
        <v>8</v>
      </c>
      <c r="E523" s="2" t="s">
        <v>7</v>
      </c>
      <c r="F523" s="1" t="s">
        <v>67</v>
      </c>
      <c r="G523" s="70">
        <v>0</v>
      </c>
      <c r="H523" s="3">
        <v>8.4142394822006496E-4</v>
      </c>
      <c r="I523" s="101">
        <v>1</v>
      </c>
      <c r="J523" s="4" t="s">
        <v>10</v>
      </c>
      <c r="K523" s="1" t="s">
        <v>11</v>
      </c>
      <c r="L523" s="1" t="s">
        <v>12</v>
      </c>
    </row>
    <row r="524" spans="1:12" x14ac:dyDescent="0.2">
      <c r="A524" s="65">
        <v>73</v>
      </c>
      <c r="B524" s="66" t="s">
        <v>229</v>
      </c>
      <c r="C524" s="2" t="s">
        <v>7</v>
      </c>
      <c r="D524" s="1" t="s">
        <v>8</v>
      </c>
      <c r="E524" s="2" t="s">
        <v>7</v>
      </c>
      <c r="F524" s="1" t="s">
        <v>67</v>
      </c>
      <c r="G524" s="70">
        <v>5.0000000000000001E-3</v>
      </c>
      <c r="H524" s="3">
        <v>6.2394822006472499E-3</v>
      </c>
      <c r="I524" s="101">
        <v>7.4153846153846139</v>
      </c>
      <c r="J524" s="4" t="s">
        <v>10</v>
      </c>
      <c r="K524" s="1" t="s">
        <v>13</v>
      </c>
      <c r="L524" s="1" t="s">
        <v>28</v>
      </c>
    </row>
    <row r="525" spans="1:12" x14ac:dyDescent="0.2">
      <c r="A525" s="65">
        <v>73</v>
      </c>
      <c r="B525" s="66" t="s">
        <v>229</v>
      </c>
      <c r="C525" s="2" t="s">
        <v>7</v>
      </c>
      <c r="D525" s="1" t="s">
        <v>8</v>
      </c>
      <c r="E525" s="2" t="s">
        <v>7</v>
      </c>
      <c r="F525" s="1" t="s">
        <v>67</v>
      </c>
      <c r="G525" s="70">
        <v>0.05</v>
      </c>
      <c r="H525" s="3">
        <v>6.3430420711974099E-4</v>
      </c>
      <c r="I525" s="101">
        <v>0.7538461538461535</v>
      </c>
      <c r="J525" s="4" t="s">
        <v>10</v>
      </c>
      <c r="K525" s="1" t="s">
        <v>15</v>
      </c>
      <c r="L525" s="1" t="s">
        <v>16</v>
      </c>
    </row>
    <row r="526" spans="1:12" s="4" customFormat="1" x14ac:dyDescent="0.2">
      <c r="A526" s="65">
        <v>73</v>
      </c>
      <c r="B526" s="66" t="s">
        <v>229</v>
      </c>
      <c r="C526" s="2" t="s">
        <v>7</v>
      </c>
      <c r="D526" s="1" t="s">
        <v>8</v>
      </c>
      <c r="E526" s="2" t="s">
        <v>7</v>
      </c>
      <c r="F526" s="1" t="s">
        <v>67</v>
      </c>
      <c r="G526" s="70">
        <v>0.5</v>
      </c>
      <c r="H526" s="3">
        <v>1.2556634304207101E-3</v>
      </c>
      <c r="I526" s="101">
        <v>1.4923076923076897</v>
      </c>
      <c r="J526" s="4" t="s">
        <v>10</v>
      </c>
      <c r="K526" s="1" t="s">
        <v>13</v>
      </c>
      <c r="L526" s="1" t="s">
        <v>12</v>
      </c>
    </row>
    <row r="527" spans="1:12" s="4" customFormat="1" x14ac:dyDescent="0.2">
      <c r="A527" s="65">
        <v>73</v>
      </c>
      <c r="B527" s="66" t="s">
        <v>229</v>
      </c>
      <c r="C527" s="2" t="s">
        <v>7</v>
      </c>
      <c r="D527" s="1" t="s">
        <v>8</v>
      </c>
      <c r="E527" s="2" t="s">
        <v>7</v>
      </c>
      <c r="F527" s="1" t="s">
        <v>67</v>
      </c>
      <c r="G527" s="70">
        <v>5</v>
      </c>
      <c r="H527" s="3">
        <v>1.30744336569579E-3</v>
      </c>
      <c r="I527" s="101">
        <v>1.5538461538461499</v>
      </c>
      <c r="J527" s="4" t="s">
        <v>10</v>
      </c>
      <c r="K527" s="1" t="s">
        <v>13</v>
      </c>
      <c r="L527" s="1" t="s">
        <v>12</v>
      </c>
    </row>
    <row r="528" spans="1:12" s="4" customFormat="1" x14ac:dyDescent="0.2">
      <c r="A528" s="65">
        <v>73</v>
      </c>
      <c r="B528" s="66" t="s">
        <v>229</v>
      </c>
      <c r="C528" s="2" t="s">
        <v>7</v>
      </c>
      <c r="D528" s="1" t="s">
        <v>8</v>
      </c>
      <c r="E528" s="2" t="s">
        <v>7</v>
      </c>
      <c r="F528" s="1" t="s">
        <v>67</v>
      </c>
      <c r="G528" s="70">
        <v>50</v>
      </c>
      <c r="H528" s="3">
        <v>7.3398058252427097E-3</v>
      </c>
      <c r="I528" s="101">
        <v>8.7230769230769098</v>
      </c>
      <c r="J528" s="4" t="s">
        <v>10</v>
      </c>
      <c r="K528" s="1" t="s">
        <v>13</v>
      </c>
      <c r="L528" s="1" t="s">
        <v>28</v>
      </c>
    </row>
    <row r="529" spans="1:12" x14ac:dyDescent="0.2">
      <c r="A529" s="65">
        <v>73</v>
      </c>
      <c r="B529" s="66" t="s">
        <v>229</v>
      </c>
      <c r="C529" s="2" t="s">
        <v>7</v>
      </c>
      <c r="D529" s="1" t="s">
        <v>8</v>
      </c>
      <c r="E529" s="2" t="s">
        <v>7</v>
      </c>
      <c r="F529" s="1" t="s">
        <v>67</v>
      </c>
      <c r="G529" s="70">
        <v>250</v>
      </c>
      <c r="H529" s="3">
        <v>1.7216828478964399E-3</v>
      </c>
      <c r="I529" s="101">
        <v>2.0461538461538451</v>
      </c>
      <c r="J529" s="4" t="s">
        <v>10</v>
      </c>
      <c r="K529" s="1" t="s">
        <v>13</v>
      </c>
      <c r="L529" s="1" t="s">
        <v>16</v>
      </c>
    </row>
    <row r="530" spans="1:12" x14ac:dyDescent="0.2">
      <c r="A530" s="65">
        <v>73</v>
      </c>
      <c r="B530" s="66" t="s">
        <v>229</v>
      </c>
      <c r="C530" s="2" t="s">
        <v>7</v>
      </c>
      <c r="D530" s="1" t="s">
        <v>8</v>
      </c>
      <c r="E530" s="2" t="s">
        <v>7</v>
      </c>
      <c r="F530" s="1" t="s">
        <v>67</v>
      </c>
      <c r="G530" s="70">
        <v>500</v>
      </c>
      <c r="H530" s="3">
        <v>3.6893203883495099E-3</v>
      </c>
      <c r="I530" s="101">
        <v>4.3846153846153779</v>
      </c>
      <c r="J530" s="4" t="s">
        <v>10</v>
      </c>
      <c r="K530" s="1" t="s">
        <v>13</v>
      </c>
      <c r="L530" s="1" t="s">
        <v>14</v>
      </c>
    </row>
    <row r="531" spans="1:12" s="4" customFormat="1" x14ac:dyDescent="0.2">
      <c r="A531" s="65">
        <v>75</v>
      </c>
      <c r="B531" s="66" t="s">
        <v>277</v>
      </c>
      <c r="C531" s="2" t="s">
        <v>7</v>
      </c>
      <c r="D531" s="1" t="s">
        <v>8</v>
      </c>
      <c r="E531" s="2" t="s">
        <v>7</v>
      </c>
      <c r="F531" s="1" t="s">
        <v>67</v>
      </c>
      <c r="G531" s="70">
        <v>0</v>
      </c>
      <c r="H531" s="3">
        <v>3.5227337500000002E-3</v>
      </c>
      <c r="I531" s="101">
        <f>H531/$H$531</f>
        <v>1</v>
      </c>
      <c r="K531" s="1"/>
      <c r="L531" s="1"/>
    </row>
    <row r="532" spans="1:12" s="4" customFormat="1" x14ac:dyDescent="0.2">
      <c r="A532" s="65">
        <v>75</v>
      </c>
      <c r="B532" s="66" t="s">
        <v>277</v>
      </c>
      <c r="C532" s="2" t="s">
        <v>7</v>
      </c>
      <c r="D532" s="1" t="s">
        <v>8</v>
      </c>
      <c r="E532" s="2" t="s">
        <v>7</v>
      </c>
      <c r="F532" s="1" t="s">
        <v>67</v>
      </c>
      <c r="G532" s="70">
        <v>10</v>
      </c>
      <c r="H532" s="3">
        <v>4.0625059374999996E-3</v>
      </c>
      <c r="I532" s="101">
        <f t="shared" ref="I532:I541" si="0">H532/$H$531</f>
        <v>1.153225371488833</v>
      </c>
      <c r="K532" s="1"/>
      <c r="L532" s="1"/>
    </row>
    <row r="533" spans="1:12" x14ac:dyDescent="0.2">
      <c r="A533" s="65">
        <v>75</v>
      </c>
      <c r="B533" s="66" t="s">
        <v>277</v>
      </c>
      <c r="C533" s="2" t="s">
        <v>7</v>
      </c>
      <c r="D533" s="1" t="s">
        <v>8</v>
      </c>
      <c r="E533" s="2" t="s">
        <v>7</v>
      </c>
      <c r="F533" s="1" t="s">
        <v>67</v>
      </c>
      <c r="G533" s="70">
        <v>20</v>
      </c>
      <c r="H533" s="3">
        <v>4.0909149999999901E-3</v>
      </c>
      <c r="I533" s="101">
        <f t="shared" si="0"/>
        <v>1.1612898647250847</v>
      </c>
    </row>
    <row r="534" spans="1:12" x14ac:dyDescent="0.2">
      <c r="A534" s="65">
        <v>75</v>
      </c>
      <c r="B534" s="66" t="s">
        <v>277</v>
      </c>
      <c r="C534" s="2" t="s">
        <v>7</v>
      </c>
      <c r="D534" s="1" t="s">
        <v>8</v>
      </c>
      <c r="E534" s="2" t="s">
        <v>7</v>
      </c>
      <c r="F534" s="1" t="s">
        <v>67</v>
      </c>
      <c r="G534" s="70">
        <v>30</v>
      </c>
      <c r="H534" s="3">
        <v>4.3465965624999896E-3</v>
      </c>
      <c r="I534" s="101">
        <f t="shared" si="0"/>
        <v>1.2338703038513739</v>
      </c>
    </row>
    <row r="535" spans="1:12" x14ac:dyDescent="0.2">
      <c r="A535" s="65">
        <v>75</v>
      </c>
      <c r="B535" s="66" t="s">
        <v>277</v>
      </c>
      <c r="C535" s="2" t="s">
        <v>7</v>
      </c>
      <c r="D535" s="1" t="s">
        <v>8</v>
      </c>
      <c r="E535" s="2" t="s">
        <v>7</v>
      </c>
      <c r="F535" s="1" t="s">
        <v>67</v>
      </c>
      <c r="G535" s="70">
        <v>40</v>
      </c>
      <c r="H535" s="3">
        <v>4.4886418749999898E-3</v>
      </c>
      <c r="I535" s="101">
        <f t="shared" si="0"/>
        <v>1.2741927700326456</v>
      </c>
    </row>
    <row r="536" spans="1:12" x14ac:dyDescent="0.2">
      <c r="A536" s="65">
        <v>75</v>
      </c>
      <c r="B536" s="66" t="s">
        <v>277</v>
      </c>
      <c r="C536" s="2" t="s">
        <v>7</v>
      </c>
      <c r="D536" s="1" t="s">
        <v>8</v>
      </c>
      <c r="E536" s="2" t="s">
        <v>7</v>
      </c>
      <c r="F536" s="1" t="s">
        <v>67</v>
      </c>
      <c r="G536" s="70">
        <v>50</v>
      </c>
      <c r="H536" s="3">
        <v>4.5738690625000003E-3</v>
      </c>
      <c r="I536" s="101">
        <f t="shared" si="0"/>
        <v>1.2983862497414118</v>
      </c>
    </row>
    <row r="537" spans="1:12" x14ac:dyDescent="0.2">
      <c r="A537" s="65">
        <v>75</v>
      </c>
      <c r="B537" s="66" t="s">
        <v>277</v>
      </c>
      <c r="C537" s="2" t="s">
        <v>7</v>
      </c>
      <c r="D537" s="1" t="s">
        <v>8</v>
      </c>
      <c r="E537" s="2" t="s">
        <v>7</v>
      </c>
      <c r="F537" s="1" t="s">
        <v>67</v>
      </c>
      <c r="G537" s="70">
        <v>60</v>
      </c>
      <c r="H537" s="3">
        <v>3.5795518749999998E-3</v>
      </c>
      <c r="I537" s="101">
        <f t="shared" si="0"/>
        <v>1.0161289864725087</v>
      </c>
    </row>
    <row r="538" spans="1:12" x14ac:dyDescent="0.2">
      <c r="A538" s="65">
        <v>75</v>
      </c>
      <c r="B538" s="66" t="s">
        <v>277</v>
      </c>
      <c r="C538" s="2" t="s">
        <v>7</v>
      </c>
      <c r="D538" s="1" t="s">
        <v>8</v>
      </c>
      <c r="E538" s="2" t="s">
        <v>7</v>
      </c>
      <c r="F538" s="1" t="s">
        <v>67</v>
      </c>
      <c r="G538" s="70">
        <v>70</v>
      </c>
      <c r="H538" s="3">
        <v>3.4943246875000001E-3</v>
      </c>
      <c r="I538" s="101">
        <f t="shared" si="0"/>
        <v>0.99193550676374564</v>
      </c>
    </row>
    <row r="539" spans="1:12" x14ac:dyDescent="0.2">
      <c r="A539" s="65">
        <v>75</v>
      </c>
      <c r="B539" s="66" t="s">
        <v>277</v>
      </c>
      <c r="C539" s="2" t="s">
        <v>7</v>
      </c>
      <c r="D539" s="1" t="s">
        <v>8</v>
      </c>
      <c r="E539" s="2" t="s">
        <v>7</v>
      </c>
      <c r="F539" s="1" t="s">
        <v>67</v>
      </c>
      <c r="G539" s="70">
        <v>80</v>
      </c>
      <c r="H539" s="3">
        <v>3.5511428124999898E-3</v>
      </c>
      <c r="I539" s="101">
        <f t="shared" si="0"/>
        <v>1.0080644932362515</v>
      </c>
    </row>
    <row r="540" spans="1:12" x14ac:dyDescent="0.2">
      <c r="A540" s="65">
        <v>75</v>
      </c>
      <c r="B540" s="66" t="s">
        <v>277</v>
      </c>
      <c r="C540" s="2" t="s">
        <v>7</v>
      </c>
      <c r="D540" s="1" t="s">
        <v>8</v>
      </c>
      <c r="E540" s="2" t="s">
        <v>7</v>
      </c>
      <c r="F540" s="1" t="s">
        <v>67</v>
      </c>
      <c r="G540" s="70">
        <v>90</v>
      </c>
      <c r="H540" s="3">
        <v>2.8409162500000001E-3</v>
      </c>
      <c r="I540" s="101">
        <f t="shared" si="0"/>
        <v>0.80645216232989503</v>
      </c>
    </row>
    <row r="541" spans="1:12" s="4" customFormat="1" x14ac:dyDescent="0.2">
      <c r="A541" s="65">
        <v>75</v>
      </c>
      <c r="B541" s="66" t="s">
        <v>277</v>
      </c>
      <c r="C541" s="2" t="s">
        <v>7</v>
      </c>
      <c r="D541" s="1" t="s">
        <v>8</v>
      </c>
      <c r="E541" s="2" t="s">
        <v>7</v>
      </c>
      <c r="F541" s="1" t="s">
        <v>67</v>
      </c>
      <c r="G541" s="70">
        <v>100</v>
      </c>
      <c r="H541" s="3">
        <v>2.2443259375000001E-3</v>
      </c>
      <c r="I541" s="101">
        <f t="shared" si="0"/>
        <v>0.63709780436855323</v>
      </c>
      <c r="K541" s="1"/>
      <c r="L541" s="1"/>
    </row>
    <row r="542" spans="1:12" s="4" customFormat="1" x14ac:dyDescent="0.2">
      <c r="A542" s="65">
        <v>75</v>
      </c>
      <c r="B542" s="66" t="s">
        <v>278</v>
      </c>
      <c r="C542" s="2" t="s">
        <v>7</v>
      </c>
      <c r="D542" s="1" t="s">
        <v>8</v>
      </c>
      <c r="E542" s="2" t="s">
        <v>7</v>
      </c>
      <c r="F542" s="1" t="s">
        <v>67</v>
      </c>
      <c r="G542" s="70">
        <v>0</v>
      </c>
      <c r="H542" s="3">
        <v>4.4411820294117596E-3</v>
      </c>
      <c r="I542" s="101">
        <f t="shared" ref="I542:I552" si="1">H542/$H$542</f>
        <v>1</v>
      </c>
      <c r="K542" s="1"/>
      <c r="L542" s="1"/>
    </row>
    <row r="543" spans="1:12" s="4" customFormat="1" x14ac:dyDescent="0.2">
      <c r="A543" s="65">
        <v>75</v>
      </c>
      <c r="B543" s="66" t="s">
        <v>278</v>
      </c>
      <c r="C543" s="2" t="s">
        <v>7</v>
      </c>
      <c r="D543" s="1" t="s">
        <v>8</v>
      </c>
      <c r="E543" s="2" t="s">
        <v>7</v>
      </c>
      <c r="F543" s="1" t="s">
        <v>67</v>
      </c>
      <c r="G543" s="70">
        <v>10</v>
      </c>
      <c r="H543" s="3">
        <v>5.47059276470588E-3</v>
      </c>
      <c r="I543" s="101">
        <f t="shared" si="1"/>
        <v>1.231787557563919</v>
      </c>
      <c r="K543" s="1"/>
      <c r="L543" s="1"/>
    </row>
    <row r="544" spans="1:12" s="4" customFormat="1" x14ac:dyDescent="0.2">
      <c r="A544" s="65">
        <v>75</v>
      </c>
      <c r="B544" s="66" t="s">
        <v>278</v>
      </c>
      <c r="C544" s="2" t="s">
        <v>7</v>
      </c>
      <c r="D544" s="1" t="s">
        <v>8</v>
      </c>
      <c r="E544" s="2" t="s">
        <v>7</v>
      </c>
      <c r="F544" s="1" t="s">
        <v>67</v>
      </c>
      <c r="G544" s="70">
        <v>20</v>
      </c>
      <c r="H544" s="3">
        <v>5.8529453235294099E-3</v>
      </c>
      <c r="I544" s="101">
        <f t="shared" si="1"/>
        <v>1.3178800789448029</v>
      </c>
      <c r="K544" s="1"/>
      <c r="L544" s="1"/>
    </row>
    <row r="545" spans="1:12" s="4" customFormat="1" x14ac:dyDescent="0.2">
      <c r="A545" s="65">
        <v>75</v>
      </c>
      <c r="B545" s="66" t="s">
        <v>278</v>
      </c>
      <c r="C545" s="2" t="s">
        <v>7</v>
      </c>
      <c r="D545" s="1" t="s">
        <v>8</v>
      </c>
      <c r="E545" s="2" t="s">
        <v>7</v>
      </c>
      <c r="F545" s="1" t="s">
        <v>67</v>
      </c>
      <c r="G545" s="70">
        <v>30</v>
      </c>
      <c r="H545" s="3">
        <v>6.1176509411764697E-3</v>
      </c>
      <c r="I545" s="101">
        <f t="shared" si="1"/>
        <v>1.3774825937469537</v>
      </c>
      <c r="K545" s="1"/>
      <c r="L545" s="1"/>
    </row>
    <row r="546" spans="1:12" s="4" customFormat="1" ht="14" customHeight="1" x14ac:dyDescent="0.2">
      <c r="A546" s="65">
        <v>75</v>
      </c>
      <c r="B546" s="66" t="s">
        <v>278</v>
      </c>
      <c r="C546" s="2" t="s">
        <v>7</v>
      </c>
      <c r="D546" s="1" t="s">
        <v>8</v>
      </c>
      <c r="E546" s="2" t="s">
        <v>7</v>
      </c>
      <c r="F546" s="1" t="s">
        <v>67</v>
      </c>
      <c r="G546" s="70">
        <v>40</v>
      </c>
      <c r="H546" s="3">
        <v>6.6764739117646998E-3</v>
      </c>
      <c r="I546" s="101">
        <f t="shared" si="1"/>
        <v>1.5033101249959366</v>
      </c>
      <c r="K546" s="1"/>
      <c r="L546" s="1"/>
    </row>
    <row r="547" spans="1:12" s="4" customFormat="1" ht="18" customHeight="1" x14ac:dyDescent="0.2">
      <c r="A547" s="65">
        <v>75</v>
      </c>
      <c r="B547" s="66" t="s">
        <v>278</v>
      </c>
      <c r="C547" s="2" t="s">
        <v>7</v>
      </c>
      <c r="D547" s="1" t="s">
        <v>8</v>
      </c>
      <c r="E547" s="2" t="s">
        <v>7</v>
      </c>
      <c r="F547" s="1" t="s">
        <v>67</v>
      </c>
      <c r="G547" s="70">
        <v>50</v>
      </c>
      <c r="H547" s="3">
        <v>6.8235325882352897E-3</v>
      </c>
      <c r="I547" s="101">
        <f t="shared" si="1"/>
        <v>1.5364226332193538</v>
      </c>
      <c r="K547" s="1"/>
      <c r="L547" s="1"/>
    </row>
    <row r="548" spans="1:12" s="4" customFormat="1" x14ac:dyDescent="0.2">
      <c r="A548" s="65">
        <v>75</v>
      </c>
      <c r="B548" s="66" t="s">
        <v>278</v>
      </c>
      <c r="C548" s="2" t="s">
        <v>7</v>
      </c>
      <c r="D548" s="1" t="s">
        <v>8</v>
      </c>
      <c r="E548" s="2" t="s">
        <v>7</v>
      </c>
      <c r="F548" s="1" t="s">
        <v>67</v>
      </c>
      <c r="G548" s="70">
        <v>60</v>
      </c>
      <c r="H548" s="3">
        <v>7.1470616764705798E-3</v>
      </c>
      <c r="I548" s="101">
        <f t="shared" si="1"/>
        <v>1.6092701513108703</v>
      </c>
      <c r="K548" s="1"/>
      <c r="L548" s="1"/>
    </row>
    <row r="549" spans="1:12" s="4" customFormat="1" x14ac:dyDescent="0.2">
      <c r="A549" s="65">
        <v>75</v>
      </c>
      <c r="B549" s="66" t="s">
        <v>278</v>
      </c>
      <c r="C549" s="2" t="s">
        <v>7</v>
      </c>
      <c r="D549" s="1" t="s">
        <v>8</v>
      </c>
      <c r="E549" s="2" t="s">
        <v>7</v>
      </c>
      <c r="F549" s="1" t="s">
        <v>67</v>
      </c>
      <c r="G549" s="70">
        <v>70</v>
      </c>
      <c r="H549" s="3">
        <v>7.2352968823529403E-3</v>
      </c>
      <c r="I549" s="101">
        <f t="shared" si="1"/>
        <v>1.629137656244922</v>
      </c>
      <c r="K549" s="1"/>
      <c r="L549" s="1"/>
    </row>
    <row r="550" spans="1:12" s="4" customFormat="1" x14ac:dyDescent="0.2">
      <c r="A550" s="65">
        <v>75</v>
      </c>
      <c r="B550" s="66" t="s">
        <v>278</v>
      </c>
      <c r="C550" s="2" t="s">
        <v>7</v>
      </c>
      <c r="D550" s="1" t="s">
        <v>8</v>
      </c>
      <c r="E550" s="2" t="s">
        <v>7</v>
      </c>
      <c r="F550" s="1" t="s">
        <v>67</v>
      </c>
      <c r="G550" s="70">
        <v>80</v>
      </c>
      <c r="H550" s="3">
        <v>7.2941203529411696E-3</v>
      </c>
      <c r="I550" s="101">
        <f t="shared" si="1"/>
        <v>1.6423826595342874</v>
      </c>
      <c r="K550" s="1"/>
      <c r="L550" s="1"/>
    </row>
    <row r="551" spans="1:12" s="4" customFormat="1" x14ac:dyDescent="0.2">
      <c r="A551" s="65">
        <v>75</v>
      </c>
      <c r="B551" s="66" t="s">
        <v>278</v>
      </c>
      <c r="C551" s="2" t="s">
        <v>7</v>
      </c>
      <c r="D551" s="1" t="s">
        <v>8</v>
      </c>
      <c r="E551" s="2" t="s">
        <v>7</v>
      </c>
      <c r="F551" s="1" t="s">
        <v>67</v>
      </c>
      <c r="G551" s="70">
        <v>90</v>
      </c>
      <c r="H551" s="3">
        <v>7.2941203529411696E-3</v>
      </c>
      <c r="I551" s="101">
        <f t="shared" si="1"/>
        <v>1.6423826595342874</v>
      </c>
      <c r="K551" s="1"/>
      <c r="L551" s="1"/>
    </row>
    <row r="552" spans="1:12" s="4" customFormat="1" x14ac:dyDescent="0.2">
      <c r="A552" s="65">
        <v>75</v>
      </c>
      <c r="B552" s="66" t="s">
        <v>278</v>
      </c>
      <c r="C552" s="2" t="s">
        <v>7</v>
      </c>
      <c r="D552" s="1" t="s">
        <v>8</v>
      </c>
      <c r="E552" s="2" t="s">
        <v>7</v>
      </c>
      <c r="F552" s="1" t="s">
        <v>67</v>
      </c>
      <c r="G552" s="70">
        <v>100</v>
      </c>
      <c r="H552" s="3">
        <v>7.2352968823529403E-3</v>
      </c>
      <c r="I552" s="101">
        <f t="shared" si="1"/>
        <v>1.629137656244922</v>
      </c>
      <c r="K552" s="1"/>
      <c r="L552" s="1"/>
    </row>
    <row r="553" spans="1:12" s="4" customFormat="1" x14ac:dyDescent="0.2">
      <c r="A553" s="65">
        <v>75</v>
      </c>
      <c r="B553" s="66" t="s">
        <v>279</v>
      </c>
      <c r="C553" s="2" t="s">
        <v>7</v>
      </c>
      <c r="D553" s="1" t="s">
        <v>8</v>
      </c>
      <c r="E553" s="2" t="s">
        <v>7</v>
      </c>
      <c r="F553" s="1" t="s">
        <v>67</v>
      </c>
      <c r="G553" s="70">
        <v>0</v>
      </c>
      <c r="H553" s="3">
        <v>5.4117692941176403E-3</v>
      </c>
      <c r="I553" s="101">
        <f t="shared" ref="I553:I563" si="2">H553/$H$553</f>
        <v>1</v>
      </c>
      <c r="K553" s="1"/>
      <c r="L553" s="1"/>
    </row>
    <row r="554" spans="1:12" s="4" customFormat="1" x14ac:dyDescent="0.2">
      <c r="A554" s="65">
        <v>75</v>
      </c>
      <c r="B554" s="66" t="s">
        <v>279</v>
      </c>
      <c r="C554" s="2" t="s">
        <v>7</v>
      </c>
      <c r="D554" s="1" t="s">
        <v>8</v>
      </c>
      <c r="E554" s="2" t="s">
        <v>7</v>
      </c>
      <c r="F554" s="1" t="s">
        <v>67</v>
      </c>
      <c r="G554" s="70">
        <v>1E-4</v>
      </c>
      <c r="H554" s="3">
        <v>4.7647111176470497E-3</v>
      </c>
      <c r="I554" s="101">
        <f t="shared" si="2"/>
        <v>0.88043500354423554</v>
      </c>
      <c r="K554" s="1"/>
      <c r="L554" s="1"/>
    </row>
    <row r="555" spans="1:12" s="4" customFormat="1" x14ac:dyDescent="0.2">
      <c r="A555" s="65">
        <v>75</v>
      </c>
      <c r="B555" s="66" t="s">
        <v>279</v>
      </c>
      <c r="C555" s="2" t="s">
        <v>7</v>
      </c>
      <c r="D555" s="1" t="s">
        <v>8</v>
      </c>
      <c r="E555" s="2" t="s">
        <v>7</v>
      </c>
      <c r="F555" s="1" t="s">
        <v>67</v>
      </c>
      <c r="G555" s="70">
        <v>2.0000000000000001E-4</v>
      </c>
      <c r="H555" s="3">
        <v>5.0294167352941104E-3</v>
      </c>
      <c r="I555" s="101">
        <f t="shared" si="2"/>
        <v>0.92934795663977576</v>
      </c>
      <c r="K555" s="1"/>
      <c r="L555" s="1"/>
    </row>
    <row r="556" spans="1:12" s="4" customFormat="1" x14ac:dyDescent="0.2">
      <c r="A556" s="65">
        <v>75</v>
      </c>
      <c r="B556" s="66" t="s">
        <v>279</v>
      </c>
      <c r="C556" s="2" t="s">
        <v>7</v>
      </c>
      <c r="D556" s="1" t="s">
        <v>8</v>
      </c>
      <c r="E556" s="2" t="s">
        <v>7</v>
      </c>
      <c r="F556" s="1" t="s">
        <v>67</v>
      </c>
      <c r="G556" s="70">
        <v>2.9999999999999997E-4</v>
      </c>
      <c r="H556" s="3">
        <v>6.5000034999999996E-3</v>
      </c>
      <c r="I556" s="101">
        <f t="shared" si="2"/>
        <v>1.2010865849483316</v>
      </c>
      <c r="K556" s="1"/>
      <c r="L556" s="1"/>
    </row>
    <row r="557" spans="1:12" s="4" customFormat="1" x14ac:dyDescent="0.2">
      <c r="A557" s="65">
        <v>75</v>
      </c>
      <c r="B557" s="66" t="s">
        <v>279</v>
      </c>
      <c r="C557" s="2" t="s">
        <v>7</v>
      </c>
      <c r="D557" s="1" t="s">
        <v>8</v>
      </c>
      <c r="E557" s="2" t="s">
        <v>7</v>
      </c>
      <c r="F557" s="1" t="s">
        <v>67</v>
      </c>
      <c r="G557" s="70">
        <v>4.0000000000000002E-4</v>
      </c>
      <c r="H557" s="3">
        <v>7.5294142352941096E-3</v>
      </c>
      <c r="I557" s="101">
        <f t="shared" si="2"/>
        <v>1.3913036247643185</v>
      </c>
      <c r="K557" s="1"/>
      <c r="L557" s="1"/>
    </row>
    <row r="558" spans="1:12" s="4" customFormat="1" x14ac:dyDescent="0.2">
      <c r="A558" s="65">
        <v>75</v>
      </c>
      <c r="B558" s="66" t="s">
        <v>279</v>
      </c>
      <c r="C558" s="2" t="s">
        <v>7</v>
      </c>
      <c r="D558" s="1" t="s">
        <v>8</v>
      </c>
      <c r="E558" s="2" t="s">
        <v>7</v>
      </c>
      <c r="F558" s="1" t="s">
        <v>67</v>
      </c>
      <c r="G558" s="70">
        <v>5.0000000000000001E-4</v>
      </c>
      <c r="H558" s="3">
        <v>7.2352968823529403E-3</v>
      </c>
      <c r="I558" s="101">
        <f t="shared" si="2"/>
        <v>1.3369558991026087</v>
      </c>
      <c r="K558" s="1"/>
      <c r="L558" s="1"/>
    </row>
    <row r="559" spans="1:12" s="4" customFormat="1" x14ac:dyDescent="0.2">
      <c r="A559" s="65">
        <v>75</v>
      </c>
      <c r="B559" s="66" t="s">
        <v>279</v>
      </c>
      <c r="C559" s="2" t="s">
        <v>7</v>
      </c>
      <c r="D559" s="1" t="s">
        <v>8</v>
      </c>
      <c r="E559" s="2" t="s">
        <v>7</v>
      </c>
      <c r="F559" s="1" t="s">
        <v>67</v>
      </c>
      <c r="G559" s="70">
        <v>5.9999999999999995E-4</v>
      </c>
      <c r="H559" s="3">
        <v>8.11764894117647E-3</v>
      </c>
      <c r="I559" s="101">
        <f t="shared" si="2"/>
        <v>1.4999990760877415</v>
      </c>
      <c r="K559" s="1"/>
      <c r="L559" s="1"/>
    </row>
    <row r="560" spans="1:12" s="4" customFormat="1" x14ac:dyDescent="0.2">
      <c r="A560" s="65">
        <v>75</v>
      </c>
      <c r="B560" s="66" t="s">
        <v>279</v>
      </c>
      <c r="C560" s="2" t="s">
        <v>7</v>
      </c>
      <c r="D560" s="1" t="s">
        <v>8</v>
      </c>
      <c r="E560" s="2" t="s">
        <v>7</v>
      </c>
      <c r="F560" s="1" t="s">
        <v>67</v>
      </c>
      <c r="G560" s="70">
        <v>6.9999999999999999E-4</v>
      </c>
      <c r="H560" s="3">
        <v>8.3529428235294099E-3</v>
      </c>
      <c r="I560" s="101">
        <f t="shared" si="2"/>
        <v>1.5434772566171102</v>
      </c>
      <c r="K560" s="1"/>
      <c r="L560" s="1"/>
    </row>
    <row r="561" spans="1:12" s="4" customFormat="1" x14ac:dyDescent="0.2">
      <c r="A561" s="65">
        <v>75</v>
      </c>
      <c r="B561" s="66" t="s">
        <v>279</v>
      </c>
      <c r="C561" s="2" t="s">
        <v>7</v>
      </c>
      <c r="D561" s="1" t="s">
        <v>8</v>
      </c>
      <c r="E561" s="2" t="s">
        <v>7</v>
      </c>
      <c r="F561" s="1" t="s">
        <v>67</v>
      </c>
      <c r="G561" s="70">
        <v>8.0000000000000004E-4</v>
      </c>
      <c r="H561" s="3">
        <v>8.4117662941176393E-3</v>
      </c>
      <c r="I561" s="101">
        <f t="shared" si="2"/>
        <v>1.5543468017494513</v>
      </c>
      <c r="K561" s="1"/>
      <c r="L561" s="1"/>
    </row>
    <row r="562" spans="1:12" s="4" customFormat="1" x14ac:dyDescent="0.2">
      <c r="A562" s="65">
        <v>75</v>
      </c>
      <c r="B562" s="66" t="s">
        <v>279</v>
      </c>
      <c r="C562" s="2" t="s">
        <v>7</v>
      </c>
      <c r="D562" s="1" t="s">
        <v>8</v>
      </c>
      <c r="E562" s="2" t="s">
        <v>7</v>
      </c>
      <c r="F562" s="1" t="s">
        <v>67</v>
      </c>
      <c r="G562" s="70">
        <v>8.9999999999999998E-4</v>
      </c>
      <c r="H562" s="3">
        <v>8.7941188529411692E-3</v>
      </c>
      <c r="I562" s="101">
        <f t="shared" si="2"/>
        <v>1.6249988451096755</v>
      </c>
      <c r="K562" s="1"/>
      <c r="L562" s="1"/>
    </row>
    <row r="563" spans="1:12" s="4" customFormat="1" x14ac:dyDescent="0.2">
      <c r="A563" s="65">
        <v>75</v>
      </c>
      <c r="B563" s="66" t="s">
        <v>279</v>
      </c>
      <c r="C563" s="2" t="s">
        <v>7</v>
      </c>
      <c r="D563" s="1" t="s">
        <v>8</v>
      </c>
      <c r="E563" s="2" t="s">
        <v>7</v>
      </c>
      <c r="F563" s="1" t="s">
        <v>67</v>
      </c>
      <c r="G563" s="70">
        <v>1E-3</v>
      </c>
      <c r="H563" s="3">
        <v>8.8235305882352899E-3</v>
      </c>
      <c r="I563" s="101">
        <f t="shared" si="2"/>
        <v>1.6304336176758472</v>
      </c>
      <c r="K563" s="1"/>
      <c r="L563" s="1"/>
    </row>
    <row r="564" spans="1:12" s="4" customFormat="1" x14ac:dyDescent="0.2">
      <c r="A564" s="65">
        <v>75</v>
      </c>
      <c r="B564" s="66" t="s">
        <v>280</v>
      </c>
      <c r="C564" s="2" t="s">
        <v>7</v>
      </c>
      <c r="D564" s="1" t="s">
        <v>8</v>
      </c>
      <c r="E564" s="2" t="s">
        <v>7</v>
      </c>
      <c r="F564" s="1" t="s">
        <v>67</v>
      </c>
      <c r="G564" s="70">
        <v>0</v>
      </c>
      <c r="H564" s="3">
        <v>5.5000044999999904E-3</v>
      </c>
      <c r="I564" s="101">
        <f t="shared" ref="I564:I574" si="3">H564/$H$564</f>
        <v>1</v>
      </c>
      <c r="K564" s="1"/>
      <c r="L564" s="1"/>
    </row>
    <row r="565" spans="1:12" s="4" customFormat="1" x14ac:dyDescent="0.2">
      <c r="A565" s="65">
        <v>75</v>
      </c>
      <c r="B565" s="66" t="s">
        <v>280</v>
      </c>
      <c r="C565" s="2" t="s">
        <v>7</v>
      </c>
      <c r="D565" s="1" t="s">
        <v>8</v>
      </c>
      <c r="E565" s="2" t="s">
        <v>7</v>
      </c>
      <c r="F565" s="1" t="s">
        <v>67</v>
      </c>
      <c r="G565" s="70">
        <v>1E-4</v>
      </c>
      <c r="H565" s="3">
        <v>7.5294142352941096E-3</v>
      </c>
      <c r="I565" s="101">
        <f t="shared" si="3"/>
        <v>1.368983286339879</v>
      </c>
      <c r="K565" s="1"/>
      <c r="L565" s="1"/>
    </row>
    <row r="566" spans="1:12" s="4" customFormat="1" x14ac:dyDescent="0.2">
      <c r="A566" s="65">
        <v>75</v>
      </c>
      <c r="B566" s="66" t="s">
        <v>280</v>
      </c>
      <c r="C566" s="2" t="s">
        <v>7</v>
      </c>
      <c r="D566" s="1" t="s">
        <v>8</v>
      </c>
      <c r="E566" s="2" t="s">
        <v>7</v>
      </c>
      <c r="F566" s="1" t="s">
        <v>67</v>
      </c>
      <c r="G566" s="70">
        <v>2.0000000000000001E-4</v>
      </c>
      <c r="H566" s="3">
        <v>7.8235315882352902E-3</v>
      </c>
      <c r="I566" s="101">
        <f t="shared" si="3"/>
        <v>1.4224591249398622</v>
      </c>
      <c r="K566" s="1"/>
      <c r="L566" s="1"/>
    </row>
    <row r="567" spans="1:12" s="4" customFormat="1" x14ac:dyDescent="0.2">
      <c r="A567" s="65">
        <v>75</v>
      </c>
      <c r="B567" s="66" t="s">
        <v>280</v>
      </c>
      <c r="C567" s="2" t="s">
        <v>7</v>
      </c>
      <c r="D567" s="1" t="s">
        <v>8</v>
      </c>
      <c r="E567" s="2" t="s">
        <v>7</v>
      </c>
      <c r="F567" s="1" t="s">
        <v>67</v>
      </c>
      <c r="G567" s="70">
        <v>2.9999999999999997E-4</v>
      </c>
      <c r="H567" s="3">
        <v>7.8235315882352902E-3</v>
      </c>
      <c r="I567" s="101">
        <f t="shared" si="3"/>
        <v>1.4224591249398622</v>
      </c>
      <c r="K567" s="1"/>
      <c r="L567" s="1"/>
    </row>
    <row r="568" spans="1:12" s="4" customFormat="1" x14ac:dyDescent="0.2">
      <c r="A568" s="65">
        <v>75</v>
      </c>
      <c r="B568" s="66" t="s">
        <v>280</v>
      </c>
      <c r="C568" s="2" t="s">
        <v>7</v>
      </c>
      <c r="D568" s="1" t="s">
        <v>8</v>
      </c>
      <c r="E568" s="2" t="s">
        <v>7</v>
      </c>
      <c r="F568" s="1" t="s">
        <v>67</v>
      </c>
      <c r="G568" s="70">
        <v>4.0000000000000002E-4</v>
      </c>
      <c r="H568" s="3">
        <v>8.7941188529411692E-3</v>
      </c>
      <c r="I568" s="101">
        <f t="shared" si="3"/>
        <v>1.5989293923198036</v>
      </c>
      <c r="K568" s="1"/>
      <c r="L568" s="1"/>
    </row>
    <row r="569" spans="1:12" s="4" customFormat="1" x14ac:dyDescent="0.2">
      <c r="A569" s="65">
        <v>75</v>
      </c>
      <c r="B569" s="66" t="s">
        <v>280</v>
      </c>
      <c r="C569" s="2" t="s">
        <v>7</v>
      </c>
      <c r="D569" s="1" t="s">
        <v>8</v>
      </c>
      <c r="E569" s="2" t="s">
        <v>7</v>
      </c>
      <c r="F569" s="1" t="s">
        <v>67</v>
      </c>
      <c r="G569" s="70">
        <v>5.0000000000000001E-4</v>
      </c>
      <c r="H569" s="3">
        <v>9.0294127352941091E-3</v>
      </c>
      <c r="I569" s="101">
        <f t="shared" si="3"/>
        <v>1.6417100631997892</v>
      </c>
      <c r="K569" s="1"/>
      <c r="L569" s="1"/>
    </row>
    <row r="570" spans="1:12" s="4" customFormat="1" x14ac:dyDescent="0.2">
      <c r="A570" s="65">
        <v>75</v>
      </c>
      <c r="B570" s="66" t="s">
        <v>280</v>
      </c>
      <c r="C570" s="2" t="s">
        <v>7</v>
      </c>
      <c r="D570" s="1" t="s">
        <v>8</v>
      </c>
      <c r="E570" s="2" t="s">
        <v>7</v>
      </c>
      <c r="F570" s="1" t="s">
        <v>67</v>
      </c>
      <c r="G570" s="70">
        <v>5.9999999999999995E-4</v>
      </c>
      <c r="H570" s="3">
        <v>8.8235305882352899E-3</v>
      </c>
      <c r="I570" s="101">
        <f t="shared" si="3"/>
        <v>1.6042769761798024</v>
      </c>
      <c r="K570" s="1"/>
      <c r="L570" s="1"/>
    </row>
    <row r="571" spans="1:12" s="4" customFormat="1" x14ac:dyDescent="0.2">
      <c r="A571" s="65">
        <v>75</v>
      </c>
      <c r="B571" s="66" t="s">
        <v>280</v>
      </c>
      <c r="C571" s="2" t="s">
        <v>7</v>
      </c>
      <c r="D571" s="1" t="s">
        <v>8</v>
      </c>
      <c r="E571" s="2" t="s">
        <v>7</v>
      </c>
      <c r="F571" s="1" t="s">
        <v>67</v>
      </c>
      <c r="G571" s="70">
        <v>6.9999999999999999E-4</v>
      </c>
      <c r="H571" s="3">
        <v>9.4117652941176407E-3</v>
      </c>
      <c r="I571" s="101">
        <f t="shared" si="3"/>
        <v>1.7112286533797667</v>
      </c>
      <c r="K571" s="1"/>
      <c r="L571" s="1"/>
    </row>
    <row r="572" spans="1:12" s="4" customFormat="1" x14ac:dyDescent="0.2">
      <c r="A572" s="65">
        <v>75</v>
      </c>
      <c r="B572" s="66" t="s">
        <v>280</v>
      </c>
      <c r="C572" s="2" t="s">
        <v>7</v>
      </c>
      <c r="D572" s="1" t="s">
        <v>8</v>
      </c>
      <c r="E572" s="2" t="s">
        <v>7</v>
      </c>
      <c r="F572" s="1" t="s">
        <v>67</v>
      </c>
      <c r="G572" s="70">
        <v>8.0000000000000004E-4</v>
      </c>
      <c r="H572" s="3">
        <v>9.4117652941176407E-3</v>
      </c>
      <c r="I572" s="101">
        <f t="shared" si="3"/>
        <v>1.7112286533797667</v>
      </c>
      <c r="K572" s="1"/>
      <c r="L572" s="1"/>
    </row>
    <row r="573" spans="1:12" s="4" customFormat="1" x14ac:dyDescent="0.2">
      <c r="A573" s="65">
        <v>75</v>
      </c>
      <c r="B573" s="66" t="s">
        <v>280</v>
      </c>
      <c r="C573" s="2" t="s">
        <v>7</v>
      </c>
      <c r="D573" s="1" t="s">
        <v>8</v>
      </c>
      <c r="E573" s="2" t="s">
        <v>7</v>
      </c>
      <c r="F573" s="1" t="s">
        <v>67</v>
      </c>
      <c r="G573" s="70">
        <v>8.9999999999999998E-4</v>
      </c>
      <c r="H573" s="3">
        <v>9.4117652941176407E-3</v>
      </c>
      <c r="I573" s="101">
        <f t="shared" si="3"/>
        <v>1.7112286533797667</v>
      </c>
      <c r="K573" s="1"/>
      <c r="L573" s="1"/>
    </row>
    <row r="574" spans="1:12" s="4" customFormat="1" x14ac:dyDescent="0.2">
      <c r="A574" s="65">
        <v>75</v>
      </c>
      <c r="B574" s="66" t="s">
        <v>280</v>
      </c>
      <c r="C574" s="2" t="s">
        <v>7</v>
      </c>
      <c r="D574" s="1" t="s">
        <v>8</v>
      </c>
      <c r="E574" s="2" t="s">
        <v>7</v>
      </c>
      <c r="F574" s="1" t="s">
        <v>67</v>
      </c>
      <c r="G574" s="70">
        <v>1E-3</v>
      </c>
      <c r="H574" s="3">
        <v>8.4411780294117601E-3</v>
      </c>
      <c r="I574" s="101">
        <f t="shared" si="3"/>
        <v>1.5347583859998251</v>
      </c>
      <c r="K574" s="1"/>
      <c r="L574" s="1"/>
    </row>
    <row r="575" spans="1:12" s="4" customFormat="1" x14ac:dyDescent="0.2">
      <c r="A575" s="65">
        <v>75</v>
      </c>
      <c r="B575" s="66" t="s">
        <v>281</v>
      </c>
      <c r="C575" s="2" t="s">
        <v>7</v>
      </c>
      <c r="D575" s="1" t="s">
        <v>8</v>
      </c>
      <c r="E575" s="2" t="s">
        <v>7</v>
      </c>
      <c r="F575" s="1" t="s">
        <v>67</v>
      </c>
      <c r="G575" s="70">
        <v>0</v>
      </c>
      <c r="H575" s="3">
        <v>5.56818625E-3</v>
      </c>
      <c r="I575" s="101">
        <f t="shared" ref="I575:I585" si="4">H575/$H$575</f>
        <v>1</v>
      </c>
      <c r="K575" s="1"/>
      <c r="L575" s="1"/>
    </row>
    <row r="576" spans="1:12" s="4" customFormat="1" x14ac:dyDescent="0.2">
      <c r="A576" s="65">
        <v>75</v>
      </c>
      <c r="B576" s="66" t="s">
        <v>281</v>
      </c>
      <c r="C576" s="2" t="s">
        <v>7</v>
      </c>
      <c r="D576" s="1" t="s">
        <v>8</v>
      </c>
      <c r="E576" s="2" t="s">
        <v>7</v>
      </c>
      <c r="F576" s="1" t="s">
        <v>67</v>
      </c>
      <c r="G576" s="70">
        <v>1E-4</v>
      </c>
      <c r="H576" s="3">
        <v>6.6761396874999998E-3</v>
      </c>
      <c r="I576" s="101">
        <f t="shared" si="4"/>
        <v>1.1989792344859154</v>
      </c>
      <c r="K576" s="1"/>
      <c r="L576" s="1"/>
    </row>
    <row r="577" spans="1:12" s="4" customFormat="1" x14ac:dyDescent="0.2">
      <c r="A577" s="65">
        <v>75</v>
      </c>
      <c r="B577" s="66" t="s">
        <v>281</v>
      </c>
      <c r="C577" s="2" t="s">
        <v>7</v>
      </c>
      <c r="D577" s="1" t="s">
        <v>8</v>
      </c>
      <c r="E577" s="2" t="s">
        <v>7</v>
      </c>
      <c r="F577" s="1" t="s">
        <v>67</v>
      </c>
      <c r="G577" s="70">
        <v>2.0000000000000001E-4</v>
      </c>
      <c r="H577" s="3">
        <v>6.9318212500000002E-3</v>
      </c>
      <c r="I577" s="101">
        <f t="shared" si="4"/>
        <v>1.2448975193672804</v>
      </c>
      <c r="K577" s="1"/>
      <c r="L577" s="1"/>
    </row>
    <row r="578" spans="1:12" s="4" customFormat="1" x14ac:dyDescent="0.2">
      <c r="A578" s="65">
        <v>75</v>
      </c>
      <c r="B578" s="66" t="s">
        <v>281</v>
      </c>
      <c r="C578" s="2" t="s">
        <v>7</v>
      </c>
      <c r="D578" s="1" t="s">
        <v>8</v>
      </c>
      <c r="E578" s="2" t="s">
        <v>7</v>
      </c>
      <c r="F578" s="1" t="s">
        <v>67</v>
      </c>
      <c r="G578" s="70">
        <v>2.9999999999999997E-4</v>
      </c>
      <c r="H578" s="3">
        <v>6.9034121875000002E-3</v>
      </c>
      <c r="I578" s="101">
        <f t="shared" si="4"/>
        <v>1.2397954877137956</v>
      </c>
      <c r="K578" s="1"/>
      <c r="L578" s="1"/>
    </row>
    <row r="579" spans="1:12" s="4" customFormat="1" x14ac:dyDescent="0.2">
      <c r="A579" s="65">
        <v>75</v>
      </c>
      <c r="B579" s="66" t="s">
        <v>281</v>
      </c>
      <c r="C579" s="2" t="s">
        <v>7</v>
      </c>
      <c r="D579" s="1" t="s">
        <v>8</v>
      </c>
      <c r="E579" s="2" t="s">
        <v>7</v>
      </c>
      <c r="F579" s="1" t="s">
        <v>67</v>
      </c>
      <c r="G579" s="70">
        <v>4.0000000000000002E-4</v>
      </c>
      <c r="H579" s="3">
        <v>6.6477306249999903E-3</v>
      </c>
      <c r="I579" s="101">
        <f t="shared" si="4"/>
        <v>1.1938772028324287</v>
      </c>
      <c r="K579" s="1"/>
      <c r="L579" s="1"/>
    </row>
    <row r="580" spans="1:12" s="4" customFormat="1" x14ac:dyDescent="0.2">
      <c r="A580" s="65">
        <v>75</v>
      </c>
      <c r="B580" s="66" t="s">
        <v>281</v>
      </c>
      <c r="C580" s="2" t="s">
        <v>7</v>
      </c>
      <c r="D580" s="1" t="s">
        <v>8</v>
      </c>
      <c r="E580" s="2" t="s">
        <v>7</v>
      </c>
      <c r="F580" s="1" t="s">
        <v>67</v>
      </c>
      <c r="G580" s="70">
        <v>5.0000000000000001E-4</v>
      </c>
      <c r="H580" s="3">
        <v>6.5909124999999997E-3</v>
      </c>
      <c r="I580" s="101">
        <f t="shared" si="4"/>
        <v>1.1836731395254603</v>
      </c>
      <c r="K580" s="1"/>
      <c r="L580" s="1"/>
    </row>
    <row r="581" spans="1:12" s="4" customFormat="1" x14ac:dyDescent="0.2">
      <c r="A581" s="65">
        <v>75</v>
      </c>
      <c r="B581" s="66" t="s">
        <v>281</v>
      </c>
      <c r="C581" s="2" t="s">
        <v>7</v>
      </c>
      <c r="D581" s="1" t="s">
        <v>8</v>
      </c>
      <c r="E581" s="2" t="s">
        <v>7</v>
      </c>
      <c r="F581" s="1" t="s">
        <v>67</v>
      </c>
      <c r="G581" s="70">
        <v>5.9999999999999995E-4</v>
      </c>
      <c r="H581" s="3">
        <v>6.5056853124999901E-3</v>
      </c>
      <c r="I581" s="101">
        <f t="shared" si="4"/>
        <v>1.1683670445650036</v>
      </c>
      <c r="K581" s="1"/>
      <c r="L581" s="1"/>
    </row>
    <row r="582" spans="1:12" s="4" customFormat="1" x14ac:dyDescent="0.2">
      <c r="A582" s="65">
        <v>75</v>
      </c>
      <c r="B582" s="66" t="s">
        <v>281</v>
      </c>
      <c r="C582" s="2" t="s">
        <v>7</v>
      </c>
      <c r="D582" s="1" t="s">
        <v>8</v>
      </c>
      <c r="E582" s="2" t="s">
        <v>7</v>
      </c>
      <c r="F582" s="1" t="s">
        <v>67</v>
      </c>
      <c r="G582" s="70">
        <v>6.9999999999999999E-4</v>
      </c>
      <c r="H582" s="3">
        <v>6.3068218749999898E-3</v>
      </c>
      <c r="I582" s="101">
        <f t="shared" si="4"/>
        <v>1.1326528229906085</v>
      </c>
      <c r="K582" s="1"/>
      <c r="L582" s="1"/>
    </row>
    <row r="583" spans="1:12" s="4" customFormat="1" x14ac:dyDescent="0.2">
      <c r="A583" s="65">
        <v>75</v>
      </c>
      <c r="B583" s="66" t="s">
        <v>281</v>
      </c>
      <c r="C583" s="2" t="s">
        <v>7</v>
      </c>
      <c r="D583" s="1" t="s">
        <v>8</v>
      </c>
      <c r="E583" s="2" t="s">
        <v>7</v>
      </c>
      <c r="F583" s="1" t="s">
        <v>67</v>
      </c>
      <c r="G583" s="70">
        <v>8.0000000000000004E-4</v>
      </c>
      <c r="H583" s="3">
        <v>4.3465965624999896E-3</v>
      </c>
      <c r="I583" s="101">
        <f t="shared" si="4"/>
        <v>0.78061263890014265</v>
      </c>
      <c r="K583" s="1"/>
      <c r="L583" s="1"/>
    </row>
    <row r="584" spans="1:12" s="4" customFormat="1" x14ac:dyDescent="0.2">
      <c r="A584" s="65">
        <v>75</v>
      </c>
      <c r="B584" s="66" t="s">
        <v>281</v>
      </c>
      <c r="C584" s="2" t="s">
        <v>7</v>
      </c>
      <c r="D584" s="1" t="s">
        <v>8</v>
      </c>
      <c r="E584" s="2" t="s">
        <v>7</v>
      </c>
      <c r="F584" s="1" t="s">
        <v>67</v>
      </c>
      <c r="G584" s="70">
        <v>8.9999999999999998E-4</v>
      </c>
      <c r="H584" s="3">
        <v>4.1193240624999997E-3</v>
      </c>
      <c r="I584" s="101">
        <f t="shared" si="4"/>
        <v>0.73979638567226436</v>
      </c>
      <c r="K584" s="1"/>
      <c r="L584" s="1"/>
    </row>
    <row r="585" spans="1:12" s="4" customFormat="1" x14ac:dyDescent="0.2">
      <c r="A585" s="65">
        <v>75</v>
      </c>
      <c r="B585" s="66" t="s">
        <v>281</v>
      </c>
      <c r="C585" s="2" t="s">
        <v>7</v>
      </c>
      <c r="D585" s="1" t="s">
        <v>8</v>
      </c>
      <c r="E585" s="2" t="s">
        <v>7</v>
      </c>
      <c r="F585" s="1" t="s">
        <v>67</v>
      </c>
      <c r="G585" s="70">
        <v>1E-3</v>
      </c>
      <c r="H585" s="3">
        <v>4.8579596874999903E-3</v>
      </c>
      <c r="I585" s="101">
        <f t="shared" si="4"/>
        <v>0.87244920866287301</v>
      </c>
      <c r="K585" s="1"/>
      <c r="L585" s="1"/>
    </row>
    <row r="586" spans="1:12" s="4" customFormat="1" x14ac:dyDescent="0.2">
      <c r="A586" s="65">
        <v>75</v>
      </c>
      <c r="B586" s="66" t="s">
        <v>306</v>
      </c>
      <c r="C586" s="2" t="s">
        <v>7</v>
      </c>
      <c r="D586" s="1" t="s">
        <v>8</v>
      </c>
      <c r="E586" s="2" t="s">
        <v>7</v>
      </c>
      <c r="F586" s="1" t="s">
        <v>67</v>
      </c>
      <c r="G586" s="70">
        <v>0</v>
      </c>
      <c r="H586" s="3">
        <v>4.4602328124999898E-3</v>
      </c>
      <c r="I586" s="101">
        <f t="shared" ref="I586:I596" si="5">H586/$H$586</f>
        <v>1</v>
      </c>
      <c r="K586" s="1"/>
      <c r="L586" s="1"/>
    </row>
    <row r="587" spans="1:12" s="4" customFormat="1" x14ac:dyDescent="0.2">
      <c r="A587" s="65">
        <v>75</v>
      </c>
      <c r="B587" s="66" t="s">
        <v>306</v>
      </c>
      <c r="C587" s="2" t="s">
        <v>7</v>
      </c>
      <c r="D587" s="1" t="s">
        <v>8</v>
      </c>
      <c r="E587" s="2" t="s">
        <v>7</v>
      </c>
      <c r="F587" s="1" t="s">
        <v>67</v>
      </c>
      <c r="G587" s="70">
        <v>1E-4</v>
      </c>
      <c r="H587" s="3">
        <v>6.1363674999999999E-3</v>
      </c>
      <c r="I587" s="101">
        <f t="shared" si="5"/>
        <v>1.3757953357956052</v>
      </c>
      <c r="K587" s="1"/>
      <c r="L587" s="1"/>
    </row>
    <row r="588" spans="1:12" s="4" customFormat="1" x14ac:dyDescent="0.2">
      <c r="A588" s="65">
        <v>75</v>
      </c>
      <c r="B588" s="66" t="s">
        <v>306</v>
      </c>
      <c r="C588" s="2" t="s">
        <v>7</v>
      </c>
      <c r="D588" s="1" t="s">
        <v>8</v>
      </c>
      <c r="E588" s="2" t="s">
        <v>7</v>
      </c>
      <c r="F588" s="1" t="s">
        <v>67</v>
      </c>
      <c r="G588" s="70">
        <v>2.0000000000000001E-4</v>
      </c>
      <c r="H588" s="3">
        <v>6.1079584374999904E-3</v>
      </c>
      <c r="I588" s="101">
        <f t="shared" si="5"/>
        <v>1.3694259233244912</v>
      </c>
      <c r="K588" s="1"/>
      <c r="L588" s="1"/>
    </row>
    <row r="589" spans="1:12" s="4" customFormat="1" x14ac:dyDescent="0.2">
      <c r="A589" s="65">
        <v>75</v>
      </c>
      <c r="B589" s="66" t="s">
        <v>306</v>
      </c>
      <c r="C589" s="2" t="s">
        <v>7</v>
      </c>
      <c r="D589" s="1" t="s">
        <v>8</v>
      </c>
      <c r="E589" s="2" t="s">
        <v>7</v>
      </c>
      <c r="F589" s="1" t="s">
        <v>67</v>
      </c>
      <c r="G589" s="70">
        <v>2.9999999999999997E-4</v>
      </c>
      <c r="H589" s="3">
        <v>6.1647765625E-3</v>
      </c>
      <c r="I589" s="101">
        <f t="shared" si="5"/>
        <v>1.3821647482667172</v>
      </c>
      <c r="K589" s="1"/>
      <c r="L589" s="1"/>
    </row>
    <row r="590" spans="1:12" s="4" customFormat="1" x14ac:dyDescent="0.2">
      <c r="A590" s="65">
        <v>75</v>
      </c>
      <c r="B590" s="66" t="s">
        <v>306</v>
      </c>
      <c r="C590" s="2" t="s">
        <v>7</v>
      </c>
      <c r="D590" s="1" t="s">
        <v>8</v>
      </c>
      <c r="E590" s="2" t="s">
        <v>7</v>
      </c>
      <c r="F590" s="1" t="s">
        <v>67</v>
      </c>
      <c r="G590" s="70">
        <v>4.0000000000000002E-4</v>
      </c>
      <c r="H590" s="3">
        <v>6.1363674999999904E-3</v>
      </c>
      <c r="I590" s="101">
        <f t="shared" si="5"/>
        <v>1.375795335795603</v>
      </c>
      <c r="K590" s="1"/>
      <c r="L590" s="1"/>
    </row>
    <row r="591" spans="1:12" s="4" customFormat="1" x14ac:dyDescent="0.2">
      <c r="A591" s="65">
        <v>75</v>
      </c>
      <c r="B591" s="66" t="s">
        <v>306</v>
      </c>
      <c r="C591" s="2" t="s">
        <v>7</v>
      </c>
      <c r="D591" s="1" t="s">
        <v>8</v>
      </c>
      <c r="E591" s="2" t="s">
        <v>7</v>
      </c>
      <c r="F591" s="1" t="s">
        <v>67</v>
      </c>
      <c r="G591" s="70">
        <v>5.0000000000000001E-4</v>
      </c>
      <c r="H591" s="3">
        <v>4.63068718749999E-3</v>
      </c>
      <c r="I591" s="101">
        <f t="shared" si="5"/>
        <v>1.0382164748266716</v>
      </c>
      <c r="K591" s="1"/>
      <c r="L591" s="1"/>
    </row>
    <row r="592" spans="1:12" s="4" customFormat="1" x14ac:dyDescent="0.2">
      <c r="A592" s="65">
        <v>75</v>
      </c>
      <c r="B592" s="66" t="s">
        <v>306</v>
      </c>
      <c r="C592" s="2" t="s">
        <v>7</v>
      </c>
      <c r="D592" s="1" t="s">
        <v>8</v>
      </c>
      <c r="E592" s="2" t="s">
        <v>7</v>
      </c>
      <c r="F592" s="1" t="s">
        <v>67</v>
      </c>
      <c r="G592" s="70">
        <v>5.9999999999999995E-4</v>
      </c>
      <c r="H592" s="3">
        <v>4.1193240624999997E-3</v>
      </c>
      <c r="I592" s="101">
        <f t="shared" si="5"/>
        <v>0.92356705034665931</v>
      </c>
      <c r="K592" s="1"/>
      <c r="L592" s="1"/>
    </row>
    <row r="593" spans="1:12" s="4" customFormat="1" x14ac:dyDescent="0.2">
      <c r="A593" s="65">
        <v>75</v>
      </c>
      <c r="B593" s="66" t="s">
        <v>306</v>
      </c>
      <c r="C593" s="2" t="s">
        <v>7</v>
      </c>
      <c r="D593" s="1" t="s">
        <v>8</v>
      </c>
      <c r="E593" s="2" t="s">
        <v>7</v>
      </c>
      <c r="F593" s="1" t="s">
        <v>67</v>
      </c>
      <c r="G593" s="70">
        <v>6.9999999999999999E-4</v>
      </c>
      <c r="H593" s="3">
        <v>3.8352334374999902E-3</v>
      </c>
      <c r="I593" s="101">
        <f t="shared" si="5"/>
        <v>0.85987292563553797</v>
      </c>
      <c r="K593" s="1"/>
      <c r="L593" s="1"/>
    </row>
    <row r="594" spans="1:12" s="4" customFormat="1" x14ac:dyDescent="0.2">
      <c r="A594" s="65">
        <v>75</v>
      </c>
      <c r="B594" s="66" t="s">
        <v>306</v>
      </c>
      <c r="C594" s="2" t="s">
        <v>7</v>
      </c>
      <c r="D594" s="1" t="s">
        <v>8</v>
      </c>
      <c r="E594" s="2" t="s">
        <v>7</v>
      </c>
      <c r="F594" s="1" t="s">
        <v>67</v>
      </c>
      <c r="G594" s="70">
        <v>8.0000000000000004E-4</v>
      </c>
      <c r="H594" s="3">
        <v>3.2102340625000001E-3</v>
      </c>
      <c r="I594" s="101">
        <f t="shared" si="5"/>
        <v>0.71974585127107815</v>
      </c>
      <c r="K594" s="1"/>
      <c r="L594" s="1"/>
    </row>
    <row r="595" spans="1:12" s="4" customFormat="1" x14ac:dyDescent="0.2">
      <c r="A595" s="65">
        <v>75</v>
      </c>
      <c r="B595" s="66" t="s">
        <v>306</v>
      </c>
      <c r="C595" s="2" t="s">
        <v>7</v>
      </c>
      <c r="D595" s="1" t="s">
        <v>8</v>
      </c>
      <c r="E595" s="2" t="s">
        <v>7</v>
      </c>
      <c r="F595" s="1" t="s">
        <v>67</v>
      </c>
      <c r="G595" s="70">
        <v>8.9999999999999998E-4</v>
      </c>
      <c r="H595" s="3">
        <v>2.8977343750000001E-3</v>
      </c>
      <c r="I595" s="101">
        <f t="shared" si="5"/>
        <v>0.64968231408884702</v>
      </c>
      <c r="K595" s="1"/>
      <c r="L595" s="1"/>
    </row>
    <row r="596" spans="1:12" s="4" customFormat="1" x14ac:dyDescent="0.2">
      <c r="A596" s="65">
        <v>75</v>
      </c>
      <c r="B596" s="66" t="s">
        <v>306</v>
      </c>
      <c r="C596" s="2" t="s">
        <v>7</v>
      </c>
      <c r="D596" s="1" t="s">
        <v>8</v>
      </c>
      <c r="E596" s="2" t="s">
        <v>7</v>
      </c>
      <c r="F596" s="1" t="s">
        <v>67</v>
      </c>
      <c r="G596" s="70">
        <v>1E-3</v>
      </c>
      <c r="H596" s="3">
        <v>2.1306896874999899E-3</v>
      </c>
      <c r="I596" s="101">
        <f t="shared" si="5"/>
        <v>0.47770817736882315</v>
      </c>
      <c r="K596" s="1"/>
      <c r="L596" s="1"/>
    </row>
    <row r="597" spans="1:12" s="4" customFormat="1" x14ac:dyDescent="0.2">
      <c r="A597" s="68">
        <v>76</v>
      </c>
      <c r="B597" s="66" t="s">
        <v>44</v>
      </c>
      <c r="C597" s="2" t="s">
        <v>7</v>
      </c>
      <c r="D597" s="1" t="s">
        <v>48</v>
      </c>
      <c r="E597" s="2" t="s">
        <v>7</v>
      </c>
      <c r="F597" s="1" t="s">
        <v>9</v>
      </c>
      <c r="G597" s="70">
        <v>0</v>
      </c>
      <c r="H597" s="3">
        <v>3.1596091205211603E-5</v>
      </c>
      <c r="I597" s="101">
        <f>H597/$H$597</f>
        <v>1</v>
      </c>
      <c r="K597" s="1"/>
      <c r="L597" s="1"/>
    </row>
    <row r="598" spans="1:12" s="4" customFormat="1" x14ac:dyDescent="0.2">
      <c r="A598" s="68">
        <v>76</v>
      </c>
      <c r="B598" s="66" t="s">
        <v>44</v>
      </c>
      <c r="C598" s="2" t="s">
        <v>7</v>
      </c>
      <c r="D598" s="1" t="s">
        <v>48</v>
      </c>
      <c r="E598" s="2" t="s">
        <v>7</v>
      </c>
      <c r="F598" s="1" t="s">
        <v>9</v>
      </c>
      <c r="G598" s="70">
        <v>2.0000000000000002E-5</v>
      </c>
      <c r="H598" s="3">
        <v>6.8078175895765395E-5</v>
      </c>
      <c r="I598" s="101">
        <f t="shared" ref="I598:I603" si="6">H598/$H$597</f>
        <v>2.1546391752577381</v>
      </c>
      <c r="K598" s="1"/>
      <c r="L598" s="1"/>
    </row>
    <row r="599" spans="1:12" s="4" customFormat="1" x14ac:dyDescent="0.2">
      <c r="A599" s="68">
        <v>76</v>
      </c>
      <c r="B599" s="66" t="s">
        <v>44</v>
      </c>
      <c r="C599" s="2" t="s">
        <v>7</v>
      </c>
      <c r="D599" s="1" t="s">
        <v>48</v>
      </c>
      <c r="E599" s="2" t="s">
        <v>7</v>
      </c>
      <c r="F599" s="1" t="s">
        <v>9</v>
      </c>
      <c r="G599" s="70">
        <v>2.0000000000000001E-4</v>
      </c>
      <c r="H599" s="3">
        <v>1.1628664495114E-4</v>
      </c>
      <c r="I599" s="101">
        <f t="shared" si="6"/>
        <v>3.6804123711340329</v>
      </c>
      <c r="K599" s="1"/>
      <c r="L599" s="1"/>
    </row>
    <row r="600" spans="1:12" s="4" customFormat="1" x14ac:dyDescent="0.2">
      <c r="A600" s="68">
        <v>76</v>
      </c>
      <c r="B600" s="66" t="s">
        <v>44</v>
      </c>
      <c r="C600" s="2" t="s">
        <v>7</v>
      </c>
      <c r="D600" s="1" t="s">
        <v>48</v>
      </c>
      <c r="E600" s="2" t="s">
        <v>7</v>
      </c>
      <c r="F600" s="1" t="s">
        <v>9</v>
      </c>
      <c r="G600" s="70">
        <v>2E-3</v>
      </c>
      <c r="H600" s="3">
        <v>1.9250814332247499E-4</v>
      </c>
      <c r="I600" s="101">
        <f t="shared" si="6"/>
        <v>6.0927835051546442</v>
      </c>
      <c r="K600" s="1"/>
      <c r="L600" s="1"/>
    </row>
    <row r="601" spans="1:12" s="4" customFormat="1" x14ac:dyDescent="0.2">
      <c r="A601" s="68">
        <v>76</v>
      </c>
      <c r="B601" s="66" t="s">
        <v>44</v>
      </c>
      <c r="C601" s="2" t="s">
        <v>7</v>
      </c>
      <c r="D601" s="1" t="s">
        <v>48</v>
      </c>
      <c r="E601" s="2" t="s">
        <v>7</v>
      </c>
      <c r="F601" s="1" t="s">
        <v>9</v>
      </c>
      <c r="G601" s="70">
        <v>0.02</v>
      </c>
      <c r="H601" s="3">
        <v>1.51465798045602E-4</v>
      </c>
      <c r="I601" s="101">
        <f t="shared" si="6"/>
        <v>4.7938144329896906</v>
      </c>
      <c r="K601" s="1"/>
      <c r="L601" s="1"/>
    </row>
    <row r="602" spans="1:12" s="4" customFormat="1" x14ac:dyDescent="0.2">
      <c r="A602" s="68">
        <v>76</v>
      </c>
      <c r="B602" s="66" t="s">
        <v>44</v>
      </c>
      <c r="C602" s="2" t="s">
        <v>7</v>
      </c>
      <c r="D602" s="1" t="s">
        <v>48</v>
      </c>
      <c r="E602" s="2" t="s">
        <v>7</v>
      </c>
      <c r="F602" s="1" t="s">
        <v>9</v>
      </c>
      <c r="G602" s="70">
        <v>0.2</v>
      </c>
      <c r="H602" s="3">
        <v>1.3843648208469001E-4</v>
      </c>
      <c r="I602" s="101">
        <f t="shared" si="6"/>
        <v>4.3814432989690717</v>
      </c>
      <c r="K602" s="1"/>
      <c r="L602" s="1"/>
    </row>
    <row r="603" spans="1:12" s="4" customFormat="1" x14ac:dyDescent="0.2">
      <c r="A603" s="68">
        <v>76</v>
      </c>
      <c r="B603" s="66" t="s">
        <v>44</v>
      </c>
      <c r="C603" s="2" t="s">
        <v>7</v>
      </c>
      <c r="D603" s="1" t="s">
        <v>48</v>
      </c>
      <c r="E603" s="2" t="s">
        <v>7</v>
      </c>
      <c r="F603" s="1" t="s">
        <v>9</v>
      </c>
      <c r="G603" s="70">
        <v>2</v>
      </c>
      <c r="H603" s="3">
        <v>1.0781758957654699E-4</v>
      </c>
      <c r="I603" s="101">
        <f t="shared" si="6"/>
        <v>3.4123711340206242</v>
      </c>
      <c r="K603" s="1"/>
      <c r="L603" s="1"/>
    </row>
    <row r="604" spans="1:12" s="4" customFormat="1" x14ac:dyDescent="0.2">
      <c r="A604" s="68">
        <v>76</v>
      </c>
      <c r="B604" s="66" t="s">
        <v>44</v>
      </c>
      <c r="C604" s="2" t="s">
        <v>7</v>
      </c>
      <c r="D604" s="1" t="s">
        <v>48</v>
      </c>
      <c r="E604" s="2" t="s">
        <v>25</v>
      </c>
      <c r="F604" s="1" t="s">
        <v>26</v>
      </c>
      <c r="G604" s="70">
        <v>0</v>
      </c>
      <c r="H604" s="3">
        <v>4.7979797979798002E-6</v>
      </c>
      <c r="I604" s="101">
        <f>H604/$H$604</f>
        <v>1</v>
      </c>
      <c r="K604" s="1"/>
      <c r="L604" s="1"/>
    </row>
    <row r="605" spans="1:12" x14ac:dyDescent="0.2">
      <c r="A605" s="68">
        <v>76</v>
      </c>
      <c r="B605" s="66" t="s">
        <v>44</v>
      </c>
      <c r="C605" s="2" t="s">
        <v>7</v>
      </c>
      <c r="D605" s="1" t="s">
        <v>48</v>
      </c>
      <c r="E605" s="2" t="s">
        <v>25</v>
      </c>
      <c r="F605" s="1" t="s">
        <v>26</v>
      </c>
      <c r="G605" s="70">
        <v>2.0000000000000002E-5</v>
      </c>
      <c r="H605" s="3">
        <v>8.8383838383838397E-6</v>
      </c>
      <c r="I605" s="101">
        <f t="shared" ref="I605:I610" si="7">H605/$H$604</f>
        <v>1.8421052631578942</v>
      </c>
    </row>
    <row r="606" spans="1:12" x14ac:dyDescent="0.2">
      <c r="A606" s="68">
        <v>76</v>
      </c>
      <c r="B606" s="66" t="s">
        <v>44</v>
      </c>
      <c r="C606" s="2" t="s">
        <v>7</v>
      </c>
      <c r="D606" s="1" t="s">
        <v>48</v>
      </c>
      <c r="E606" s="2" t="s">
        <v>25</v>
      </c>
      <c r="F606" s="1" t="s">
        <v>26</v>
      </c>
      <c r="G606" s="70">
        <v>2.0000000000000001E-4</v>
      </c>
      <c r="H606" s="3">
        <v>9.0151515151515106E-6</v>
      </c>
      <c r="I606" s="101">
        <f t="shared" si="7"/>
        <v>1.8789473684210507</v>
      </c>
    </row>
    <row r="607" spans="1:12" x14ac:dyDescent="0.2">
      <c r="A607" s="68">
        <v>76</v>
      </c>
      <c r="B607" s="66" t="s">
        <v>44</v>
      </c>
      <c r="C607" s="2" t="s">
        <v>7</v>
      </c>
      <c r="D607" s="1" t="s">
        <v>48</v>
      </c>
      <c r="E607" s="2" t="s">
        <v>25</v>
      </c>
      <c r="F607" s="1" t="s">
        <v>26</v>
      </c>
      <c r="G607" s="70">
        <v>2E-3</v>
      </c>
      <c r="H607" s="3">
        <v>1.1313131313131301E-5</v>
      </c>
      <c r="I607" s="101">
        <f t="shared" si="7"/>
        <v>2.3578947368421015</v>
      </c>
    </row>
    <row r="608" spans="1:12" x14ac:dyDescent="0.2">
      <c r="A608" s="68">
        <v>76</v>
      </c>
      <c r="B608" s="66" t="s">
        <v>44</v>
      </c>
      <c r="C608" s="2" t="s">
        <v>7</v>
      </c>
      <c r="D608" s="1" t="s">
        <v>48</v>
      </c>
      <c r="E608" s="2" t="s">
        <v>25</v>
      </c>
      <c r="F608" s="1" t="s">
        <v>26</v>
      </c>
      <c r="G608" s="70">
        <v>0.02</v>
      </c>
      <c r="H608" s="3">
        <v>1.03282828282828E-5</v>
      </c>
      <c r="I608" s="101">
        <f t="shared" si="7"/>
        <v>2.1526315789473616</v>
      </c>
    </row>
    <row r="609" spans="1:12" x14ac:dyDescent="0.2">
      <c r="A609" s="68">
        <v>76</v>
      </c>
      <c r="B609" s="66" t="s">
        <v>44</v>
      </c>
      <c r="C609" s="2" t="s">
        <v>7</v>
      </c>
      <c r="D609" s="1" t="s">
        <v>48</v>
      </c>
      <c r="E609" s="2" t="s">
        <v>25</v>
      </c>
      <c r="F609" s="1" t="s">
        <v>26</v>
      </c>
      <c r="G609" s="70">
        <v>0.2</v>
      </c>
      <c r="H609" s="3">
        <v>5.8080808080808097E-6</v>
      </c>
      <c r="I609" s="101">
        <f t="shared" si="7"/>
        <v>1.2105263157894735</v>
      </c>
    </row>
    <row r="610" spans="1:12" x14ac:dyDescent="0.2">
      <c r="A610" s="68">
        <v>76</v>
      </c>
      <c r="B610" s="66" t="s">
        <v>44</v>
      </c>
      <c r="C610" s="2" t="s">
        <v>7</v>
      </c>
      <c r="D610" s="1" t="s">
        <v>48</v>
      </c>
      <c r="E610" s="2" t="s">
        <v>25</v>
      </c>
      <c r="F610" s="1" t="s">
        <v>26</v>
      </c>
      <c r="G610" s="70">
        <v>2</v>
      </c>
      <c r="H610" s="3">
        <v>5.4292929292929302E-6</v>
      </c>
      <c r="I610" s="101">
        <f t="shared" si="7"/>
        <v>1.1315789473684208</v>
      </c>
      <c r="L610" s="1" t="s">
        <v>380</v>
      </c>
    </row>
    <row r="611" spans="1:12" x14ac:dyDescent="0.2">
      <c r="A611" s="65">
        <v>77</v>
      </c>
      <c r="B611" s="66" t="s">
        <v>523</v>
      </c>
      <c r="C611" s="2" t="s">
        <v>7</v>
      </c>
      <c r="D611" s="1" t="s">
        <v>46</v>
      </c>
      <c r="E611" s="1" t="s">
        <v>7</v>
      </c>
      <c r="F611" s="1" t="s">
        <v>8</v>
      </c>
      <c r="G611" s="91">
        <v>0</v>
      </c>
      <c r="H611" s="69">
        <v>2.1269085242759536E-4</v>
      </c>
      <c r="I611" s="101">
        <f>H611/$H$611</f>
        <v>1</v>
      </c>
      <c r="L611" s="3">
        <f>2.12*10^(-4)</f>
        <v>2.1200000000000003E-4</v>
      </c>
    </row>
    <row r="612" spans="1:12" x14ac:dyDescent="0.2">
      <c r="A612" s="65">
        <v>77</v>
      </c>
      <c r="B612" s="66" t="s">
        <v>523</v>
      </c>
      <c r="C612" s="2" t="s">
        <v>7</v>
      </c>
      <c r="D612" s="1" t="s">
        <v>46</v>
      </c>
      <c r="E612" s="1" t="s">
        <v>7</v>
      </c>
      <c r="F612" s="1" t="s">
        <v>8</v>
      </c>
      <c r="G612" s="91">
        <v>5.0000000000000001E-3</v>
      </c>
      <c r="H612" s="69">
        <v>6.6408043724315528E-5</v>
      </c>
      <c r="I612" s="101">
        <f t="shared" ref="I612:I614" si="8">H612/$H$611</f>
        <v>0.31222801999405353</v>
      </c>
      <c r="L612" s="3">
        <v>6.6000000000000005E-5</v>
      </c>
    </row>
    <row r="613" spans="1:12" x14ac:dyDescent="0.2">
      <c r="A613" s="65">
        <v>77</v>
      </c>
      <c r="B613" s="66" t="s">
        <v>523</v>
      </c>
      <c r="C613" s="2" t="s">
        <v>7</v>
      </c>
      <c r="D613" s="1" t="s">
        <v>46</v>
      </c>
      <c r="E613" s="1" t="s">
        <v>7</v>
      </c>
      <c r="F613" s="1" t="s">
        <v>8</v>
      </c>
      <c r="G613" s="91">
        <v>0.01</v>
      </c>
      <c r="H613" s="69">
        <v>2.1173329379410599E-5</v>
      </c>
      <c r="I613" s="101">
        <f t="shared" si="8"/>
        <v>9.9549788520493454E-2</v>
      </c>
      <c r="L613" s="3">
        <v>2.0999999999999999E-5</v>
      </c>
    </row>
    <row r="614" spans="1:12" x14ac:dyDescent="0.2">
      <c r="A614" s="65">
        <v>77</v>
      </c>
      <c r="B614" s="66" t="s">
        <v>523</v>
      </c>
      <c r="C614" s="2" t="s">
        <v>7</v>
      </c>
      <c r="D614" s="1" t="s">
        <v>46</v>
      </c>
      <c r="E614" s="1" t="s">
        <v>7</v>
      </c>
      <c r="F614" s="1" t="s">
        <v>8</v>
      </c>
      <c r="G614" s="91">
        <v>0.02</v>
      </c>
      <c r="H614" s="69">
        <v>1.825650307124723E-5</v>
      </c>
      <c r="I614" s="101">
        <f t="shared" si="8"/>
        <v>8.5835863944652466E-2</v>
      </c>
      <c r="L614" s="3">
        <v>1.8E-5</v>
      </c>
    </row>
    <row r="615" spans="1:12" x14ac:dyDescent="0.2">
      <c r="A615" s="65">
        <v>78</v>
      </c>
      <c r="B615" s="66" t="s">
        <v>301</v>
      </c>
      <c r="C615" s="2" t="s">
        <v>58</v>
      </c>
      <c r="D615" s="1" t="s">
        <v>20</v>
      </c>
      <c r="E615" s="2" t="s">
        <v>7</v>
      </c>
      <c r="F615" s="1" t="s">
        <v>8</v>
      </c>
      <c r="G615" s="70">
        <v>0</v>
      </c>
      <c r="I615" s="101">
        <v>0.99767306573589198</v>
      </c>
    </row>
    <row r="616" spans="1:12" x14ac:dyDescent="0.2">
      <c r="A616" s="65">
        <v>78</v>
      </c>
      <c r="B616" s="66" t="s">
        <v>301</v>
      </c>
      <c r="C616" s="2" t="s">
        <v>58</v>
      </c>
      <c r="D616" s="1" t="s">
        <v>20</v>
      </c>
      <c r="E616" s="2" t="s">
        <v>7</v>
      </c>
      <c r="F616" s="1" t="s">
        <v>8</v>
      </c>
      <c r="G616" s="70">
        <v>5.0000000000000001E-3</v>
      </c>
      <c r="I616" s="101">
        <v>1.4543339150668899</v>
      </c>
    </row>
    <row r="617" spans="1:12" x14ac:dyDescent="0.2">
      <c r="A617" s="65">
        <v>78</v>
      </c>
      <c r="B617" s="66" t="s">
        <v>301</v>
      </c>
      <c r="C617" s="2" t="s">
        <v>58</v>
      </c>
      <c r="D617" s="1" t="s">
        <v>20</v>
      </c>
      <c r="E617" s="2" t="s">
        <v>7</v>
      </c>
      <c r="F617" s="1" t="s">
        <v>8</v>
      </c>
      <c r="G617" s="70">
        <v>0.05</v>
      </c>
      <c r="I617" s="101">
        <v>1.8208260616637499</v>
      </c>
    </row>
    <row r="618" spans="1:12" x14ac:dyDescent="0.2">
      <c r="A618" s="65">
        <v>78</v>
      </c>
      <c r="B618" s="66" t="s">
        <v>301</v>
      </c>
      <c r="C618" s="2" t="s">
        <v>58</v>
      </c>
      <c r="D618" s="1" t="s">
        <v>20</v>
      </c>
      <c r="E618" s="2" t="s">
        <v>7</v>
      </c>
      <c r="F618" s="1" t="s">
        <v>8</v>
      </c>
      <c r="G618" s="70">
        <v>0.5</v>
      </c>
      <c r="I618" s="101">
        <v>1.2536358347876599</v>
      </c>
    </row>
    <row r="619" spans="1:12" x14ac:dyDescent="0.2">
      <c r="A619" s="65">
        <v>78</v>
      </c>
      <c r="B619" s="66" t="s">
        <v>301</v>
      </c>
      <c r="C619" s="2" t="s">
        <v>58</v>
      </c>
      <c r="D619" s="1" t="s">
        <v>20</v>
      </c>
      <c r="E619" s="2" t="s">
        <v>7</v>
      </c>
      <c r="F619" s="1" t="s">
        <v>8</v>
      </c>
      <c r="G619" s="70">
        <v>0</v>
      </c>
      <c r="I619" s="101">
        <v>1.0005830903790001</v>
      </c>
    </row>
    <row r="620" spans="1:12" x14ac:dyDescent="0.2">
      <c r="A620" s="65">
        <v>78</v>
      </c>
      <c r="B620" s="66" t="s">
        <v>307</v>
      </c>
      <c r="C620" s="2" t="s">
        <v>58</v>
      </c>
      <c r="D620" s="1" t="s">
        <v>20</v>
      </c>
      <c r="E620" s="2" t="s">
        <v>7</v>
      </c>
      <c r="F620" s="1" t="s">
        <v>8</v>
      </c>
      <c r="G620" s="70">
        <v>0.01</v>
      </c>
      <c r="I620" s="101">
        <v>1.4588921282798799</v>
      </c>
    </row>
    <row r="621" spans="1:12" s="4" customFormat="1" x14ac:dyDescent="0.2">
      <c r="A621" s="65">
        <v>78</v>
      </c>
      <c r="B621" s="66" t="s">
        <v>307</v>
      </c>
      <c r="C621" s="2" t="s">
        <v>58</v>
      </c>
      <c r="D621" s="1" t="s">
        <v>20</v>
      </c>
      <c r="E621" s="2" t="s">
        <v>7</v>
      </c>
      <c r="F621" s="1" t="s">
        <v>8</v>
      </c>
      <c r="G621" s="70">
        <v>0.1</v>
      </c>
      <c r="H621" s="3"/>
      <c r="I621" s="101">
        <v>1.7370262390670499</v>
      </c>
      <c r="K621" s="1"/>
      <c r="L621" s="1"/>
    </row>
    <row r="622" spans="1:12" s="4" customFormat="1" x14ac:dyDescent="0.2">
      <c r="A622" s="65">
        <v>78</v>
      </c>
      <c r="B622" s="66" t="s">
        <v>307</v>
      </c>
      <c r="C622" s="2" t="s">
        <v>58</v>
      </c>
      <c r="D622" s="1" t="s">
        <v>20</v>
      </c>
      <c r="E622" s="2" t="s">
        <v>7</v>
      </c>
      <c r="F622" s="1" t="s">
        <v>8</v>
      </c>
      <c r="G622" s="70">
        <v>1</v>
      </c>
      <c r="H622" s="3"/>
      <c r="I622" s="101">
        <v>1.3381924198250701</v>
      </c>
      <c r="K622" s="1"/>
      <c r="L622" s="1"/>
    </row>
    <row r="623" spans="1:12" s="4" customFormat="1" x14ac:dyDescent="0.2">
      <c r="A623" s="65">
        <v>78</v>
      </c>
      <c r="B623" s="66" t="s">
        <v>307</v>
      </c>
      <c r="C623" s="2" t="s">
        <v>58</v>
      </c>
      <c r="D623" s="1" t="s">
        <v>20</v>
      </c>
      <c r="E623" s="2" t="s">
        <v>7</v>
      </c>
      <c r="F623" s="1" t="s">
        <v>8</v>
      </c>
      <c r="G623" s="70">
        <v>10</v>
      </c>
      <c r="H623" s="3"/>
      <c r="I623" s="101">
        <v>0.60174927113702603</v>
      </c>
      <c r="K623" s="1"/>
      <c r="L623" s="1"/>
    </row>
    <row r="624" spans="1:12" s="4" customFormat="1" x14ac:dyDescent="0.2">
      <c r="A624" s="65">
        <v>80</v>
      </c>
      <c r="B624" s="66" t="s">
        <v>303</v>
      </c>
      <c r="C624" s="2" t="s">
        <v>7</v>
      </c>
      <c r="D624" s="1" t="s">
        <v>20</v>
      </c>
      <c r="E624" s="2" t="s">
        <v>7</v>
      </c>
      <c r="F624" s="1" t="s">
        <v>8</v>
      </c>
      <c r="G624" s="70">
        <v>0</v>
      </c>
      <c r="H624" s="3"/>
      <c r="I624" s="101">
        <v>0.99990583804143096</v>
      </c>
      <c r="K624" s="1"/>
      <c r="L624" s="1"/>
    </row>
    <row r="625" spans="1:12" s="4" customFormat="1" x14ac:dyDescent="0.2">
      <c r="A625" s="65">
        <v>80</v>
      </c>
      <c r="B625" s="66" t="s">
        <v>303</v>
      </c>
      <c r="C625" s="2" t="s">
        <v>7</v>
      </c>
      <c r="D625" s="1" t="s">
        <v>20</v>
      </c>
      <c r="E625" s="2" t="s">
        <v>7</v>
      </c>
      <c r="F625" s="1" t="s">
        <v>8</v>
      </c>
      <c r="G625" s="70">
        <v>50</v>
      </c>
      <c r="H625" s="3"/>
      <c r="I625" s="101">
        <v>1.13239171374764</v>
      </c>
      <c r="K625" s="1"/>
      <c r="L625" s="1"/>
    </row>
    <row r="626" spans="1:12" s="4" customFormat="1" x14ac:dyDescent="0.2">
      <c r="A626" s="65">
        <v>80</v>
      </c>
      <c r="B626" s="66" t="s">
        <v>303</v>
      </c>
      <c r="C626" s="2" t="s">
        <v>7</v>
      </c>
      <c r="D626" s="1" t="s">
        <v>20</v>
      </c>
      <c r="E626" s="2" t="s">
        <v>7</v>
      </c>
      <c r="F626" s="1" t="s">
        <v>8</v>
      </c>
      <c r="G626" s="70">
        <v>100</v>
      </c>
      <c r="H626" s="3"/>
      <c r="I626" s="101">
        <v>1.1033898305084699</v>
      </c>
      <c r="K626" s="1"/>
      <c r="L626" s="1"/>
    </row>
    <row r="627" spans="1:12" s="4" customFormat="1" x14ac:dyDescent="0.2">
      <c r="A627" s="65">
        <v>80</v>
      </c>
      <c r="B627" s="66" t="s">
        <v>303</v>
      </c>
      <c r="C627" s="2" t="s">
        <v>7</v>
      </c>
      <c r="D627" s="1" t="s">
        <v>20</v>
      </c>
      <c r="E627" s="2" t="s">
        <v>7</v>
      </c>
      <c r="F627" s="1" t="s">
        <v>8</v>
      </c>
      <c r="G627" s="70">
        <v>200</v>
      </c>
      <c r="H627" s="3"/>
      <c r="I627" s="101">
        <v>0.99067796610169401</v>
      </c>
      <c r="K627" s="1"/>
      <c r="L627" s="1"/>
    </row>
    <row r="628" spans="1:12" s="4" customFormat="1" x14ac:dyDescent="0.2">
      <c r="A628" s="65">
        <v>80</v>
      </c>
      <c r="B628" s="66" t="s">
        <v>303</v>
      </c>
      <c r="C628" s="2" t="s">
        <v>7</v>
      </c>
      <c r="D628" s="1" t="s">
        <v>20</v>
      </c>
      <c r="E628" s="2" t="s">
        <v>7</v>
      </c>
      <c r="F628" s="1" t="s">
        <v>8</v>
      </c>
      <c r="G628" s="70">
        <v>300</v>
      </c>
      <c r="H628" s="3"/>
      <c r="I628" s="101">
        <v>0.94124293785310698</v>
      </c>
      <c r="K628" s="1"/>
      <c r="L628" s="1"/>
    </row>
    <row r="629" spans="1:12" s="4" customFormat="1" x14ac:dyDescent="0.2">
      <c r="A629" s="65">
        <v>80</v>
      </c>
      <c r="B629" s="66" t="s">
        <v>303</v>
      </c>
      <c r="C629" s="2" t="s">
        <v>7</v>
      </c>
      <c r="D629" s="1" t="s">
        <v>20</v>
      </c>
      <c r="E629" s="2" t="s">
        <v>7</v>
      </c>
      <c r="F629" s="1" t="s">
        <v>8</v>
      </c>
      <c r="G629" s="70">
        <v>400</v>
      </c>
      <c r="H629" s="3"/>
      <c r="I629" s="101">
        <v>0.913559322033898</v>
      </c>
      <c r="K629" s="1"/>
      <c r="L629" s="1"/>
    </row>
    <row r="630" spans="1:12" s="4" customFormat="1" x14ac:dyDescent="0.2">
      <c r="A630" s="65">
        <v>80</v>
      </c>
      <c r="B630" s="66" t="s">
        <v>303</v>
      </c>
      <c r="C630" s="2" t="s">
        <v>7</v>
      </c>
      <c r="D630" s="1" t="s">
        <v>20</v>
      </c>
      <c r="E630" s="2" t="s">
        <v>7</v>
      </c>
      <c r="F630" s="1" t="s">
        <v>8</v>
      </c>
      <c r="G630" s="70">
        <v>500</v>
      </c>
      <c r="H630" s="3"/>
      <c r="I630" s="101">
        <v>0.77777777777777701</v>
      </c>
      <c r="K630" s="1"/>
      <c r="L630" s="1"/>
    </row>
    <row r="631" spans="1:12" s="4" customFormat="1" x14ac:dyDescent="0.2">
      <c r="A631" s="65">
        <v>80</v>
      </c>
      <c r="B631" s="66" t="s">
        <v>303</v>
      </c>
      <c r="C631" s="2" t="s">
        <v>7</v>
      </c>
      <c r="D631" s="1" t="s">
        <v>20</v>
      </c>
      <c r="E631" s="2" t="s">
        <v>7</v>
      </c>
      <c r="F631" s="1" t="s">
        <v>8</v>
      </c>
      <c r="G631" s="70">
        <v>600</v>
      </c>
      <c r="H631" s="3"/>
      <c r="I631" s="101">
        <v>0.73361581920903896</v>
      </c>
      <c r="K631" s="1"/>
      <c r="L631" s="1"/>
    </row>
    <row r="632" spans="1:12" s="4" customFormat="1" x14ac:dyDescent="0.2">
      <c r="A632" s="65">
        <v>80</v>
      </c>
      <c r="B632" s="66" t="s">
        <v>303</v>
      </c>
      <c r="C632" s="2" t="s">
        <v>7</v>
      </c>
      <c r="D632" s="1" t="s">
        <v>20</v>
      </c>
      <c r="E632" s="2" t="s">
        <v>7</v>
      </c>
      <c r="F632" s="1" t="s">
        <v>8</v>
      </c>
      <c r="G632" s="70">
        <v>700</v>
      </c>
      <c r="H632" s="3"/>
      <c r="I632" s="101">
        <v>0.56026365348399199</v>
      </c>
      <c r="K632" s="1"/>
      <c r="L632" s="1"/>
    </row>
    <row r="633" spans="1:12" s="4" customFormat="1" x14ac:dyDescent="0.2">
      <c r="A633" s="65">
        <v>80</v>
      </c>
      <c r="B633" s="66" t="s">
        <v>303</v>
      </c>
      <c r="C633" s="2" t="s">
        <v>7</v>
      </c>
      <c r="D633" s="1" t="s">
        <v>20</v>
      </c>
      <c r="E633" s="2" t="s">
        <v>7</v>
      </c>
      <c r="F633" s="1" t="s">
        <v>8</v>
      </c>
      <c r="G633" s="70">
        <v>800</v>
      </c>
      <c r="H633" s="3"/>
      <c r="I633" s="101">
        <v>0.49962335216572401</v>
      </c>
      <c r="K633" s="1"/>
      <c r="L633" s="1"/>
    </row>
    <row r="634" spans="1:12" s="4" customFormat="1" x14ac:dyDescent="0.2">
      <c r="A634" s="65">
        <v>80</v>
      </c>
      <c r="B634" s="66" t="s">
        <v>304</v>
      </c>
      <c r="C634" s="2" t="s">
        <v>7</v>
      </c>
      <c r="D634" s="1" t="s">
        <v>20</v>
      </c>
      <c r="E634" s="2" t="s">
        <v>7</v>
      </c>
      <c r="F634" s="1" t="s">
        <v>8</v>
      </c>
      <c r="G634" s="70">
        <v>0</v>
      </c>
      <c r="H634" s="3"/>
      <c r="I634" s="101">
        <v>0.99912739965095898</v>
      </c>
      <c r="K634" s="1"/>
      <c r="L634" s="1"/>
    </row>
    <row r="635" spans="1:12" s="4" customFormat="1" x14ac:dyDescent="0.2">
      <c r="A635" s="65">
        <v>80</v>
      </c>
      <c r="B635" s="66" t="s">
        <v>304</v>
      </c>
      <c r="C635" s="2" t="s">
        <v>7</v>
      </c>
      <c r="D635" s="1" t="s">
        <v>20</v>
      </c>
      <c r="E635" s="2" t="s">
        <v>7</v>
      </c>
      <c r="F635" s="1" t="s">
        <v>8</v>
      </c>
      <c r="G635" s="70">
        <v>20</v>
      </c>
      <c r="H635" s="3"/>
      <c r="I635" s="101">
        <v>1.5706806282722501</v>
      </c>
      <c r="K635" s="1"/>
      <c r="L635" s="1"/>
    </row>
    <row r="636" spans="1:12" s="4" customFormat="1" x14ac:dyDescent="0.2">
      <c r="A636" s="65">
        <v>80</v>
      </c>
      <c r="B636" s="66" t="s">
        <v>304</v>
      </c>
      <c r="C636" s="2" t="s">
        <v>7</v>
      </c>
      <c r="D636" s="1" t="s">
        <v>20</v>
      </c>
      <c r="E636" s="2" t="s">
        <v>7</v>
      </c>
      <c r="F636" s="1" t="s">
        <v>8</v>
      </c>
      <c r="G636" s="70">
        <v>45</v>
      </c>
      <c r="H636" s="3"/>
      <c r="I636" s="101">
        <v>2.46655031995346</v>
      </c>
      <c r="K636" s="1"/>
      <c r="L636" s="1"/>
    </row>
    <row r="637" spans="1:12" s="4" customFormat="1" x14ac:dyDescent="0.2">
      <c r="A637" s="65">
        <v>80</v>
      </c>
      <c r="B637" s="66" t="s">
        <v>304</v>
      </c>
      <c r="C637" s="2" t="s">
        <v>7</v>
      </c>
      <c r="D637" s="1" t="s">
        <v>20</v>
      </c>
      <c r="E637" s="2" t="s">
        <v>7</v>
      </c>
      <c r="F637" s="1" t="s">
        <v>8</v>
      </c>
      <c r="G637" s="70">
        <v>50</v>
      </c>
      <c r="H637" s="3"/>
      <c r="I637" s="101">
        <v>1.5255962769051701</v>
      </c>
      <c r="K637" s="1"/>
      <c r="L637" s="1"/>
    </row>
    <row r="638" spans="1:12" s="4" customFormat="1" x14ac:dyDescent="0.2">
      <c r="A638" s="65">
        <v>80</v>
      </c>
      <c r="B638" s="66" t="s">
        <v>304</v>
      </c>
      <c r="C638" s="2" t="s">
        <v>7</v>
      </c>
      <c r="D638" s="1" t="s">
        <v>20</v>
      </c>
      <c r="E638" s="2" t="s">
        <v>7</v>
      </c>
      <c r="F638" s="1" t="s">
        <v>8</v>
      </c>
      <c r="G638" s="70">
        <v>100</v>
      </c>
      <c r="H638" s="3"/>
      <c r="I638" s="101">
        <v>0.471204188481675</v>
      </c>
      <c r="K638" s="1"/>
      <c r="L638" s="1"/>
    </row>
    <row r="639" spans="1:12" s="4" customFormat="1" x14ac:dyDescent="0.2">
      <c r="A639" s="65">
        <v>80</v>
      </c>
      <c r="B639" s="66" t="s">
        <v>304</v>
      </c>
      <c r="C639" s="2" t="s">
        <v>7</v>
      </c>
      <c r="D639" s="1" t="s">
        <v>20</v>
      </c>
      <c r="E639" s="2" t="s">
        <v>7</v>
      </c>
      <c r="F639" s="1" t="s">
        <v>8</v>
      </c>
      <c r="G639" s="70">
        <v>200</v>
      </c>
      <c r="H639" s="3"/>
      <c r="I639" s="101">
        <v>0.449389179755672</v>
      </c>
      <c r="K639" s="1"/>
      <c r="L639" s="1"/>
    </row>
    <row r="640" spans="1:12" s="4" customFormat="1" x14ac:dyDescent="0.2">
      <c r="A640" s="65">
        <v>80</v>
      </c>
      <c r="B640" s="66" t="s">
        <v>304</v>
      </c>
      <c r="C640" s="2" t="s">
        <v>7</v>
      </c>
      <c r="D640" s="1" t="s">
        <v>20</v>
      </c>
      <c r="E640" s="2" t="s">
        <v>7</v>
      </c>
      <c r="F640" s="1" t="s">
        <v>8</v>
      </c>
      <c r="G640" s="70">
        <v>300</v>
      </c>
      <c r="H640" s="3"/>
      <c r="I640" s="101">
        <v>0.177428737638161</v>
      </c>
      <c r="K640" s="1"/>
      <c r="L640" s="1"/>
    </row>
    <row r="641" spans="1:12" s="4" customFormat="1" x14ac:dyDescent="0.2">
      <c r="A641" s="65">
        <v>80</v>
      </c>
      <c r="B641" s="66" t="s">
        <v>304</v>
      </c>
      <c r="C641" s="2" t="s">
        <v>7</v>
      </c>
      <c r="D641" s="1" t="s">
        <v>20</v>
      </c>
      <c r="E641" s="2" t="s">
        <v>7</v>
      </c>
      <c r="F641" s="1" t="s">
        <v>8</v>
      </c>
      <c r="G641" s="70">
        <v>400</v>
      </c>
      <c r="H641" s="3"/>
      <c r="I641" s="101">
        <v>0.29959278650378102</v>
      </c>
      <c r="K641" s="1"/>
      <c r="L641" s="1"/>
    </row>
    <row r="642" spans="1:12" s="4" customFormat="1" x14ac:dyDescent="0.2">
      <c r="A642" s="65">
        <v>80</v>
      </c>
      <c r="B642" s="66" t="s">
        <v>304</v>
      </c>
      <c r="C642" s="2" t="s">
        <v>7</v>
      </c>
      <c r="D642" s="1" t="s">
        <v>20</v>
      </c>
      <c r="E642" s="2" t="s">
        <v>7</v>
      </c>
      <c r="F642" s="1" t="s">
        <v>8</v>
      </c>
      <c r="G642" s="70">
        <v>500</v>
      </c>
      <c r="H642" s="3"/>
      <c r="I642" s="101">
        <v>0.28068644560791101</v>
      </c>
      <c r="K642" s="1"/>
      <c r="L642" s="1"/>
    </row>
    <row r="643" spans="1:12" s="4" customFormat="1" x14ac:dyDescent="0.2">
      <c r="A643" s="65">
        <v>80</v>
      </c>
      <c r="B643" s="66" t="s">
        <v>304</v>
      </c>
      <c r="C643" s="2" t="s">
        <v>7</v>
      </c>
      <c r="D643" s="1" t="s">
        <v>20</v>
      </c>
      <c r="E643" s="2" t="s">
        <v>7</v>
      </c>
      <c r="F643" s="1" t="s">
        <v>8</v>
      </c>
      <c r="G643" s="70">
        <v>600</v>
      </c>
      <c r="H643" s="3"/>
      <c r="I643" s="101">
        <v>9.9999999999999995E-7</v>
      </c>
      <c r="K643" s="1"/>
      <c r="L643" s="1"/>
    </row>
    <row r="644" spans="1:12" s="4" customFormat="1" x14ac:dyDescent="0.2">
      <c r="A644" s="65">
        <v>80</v>
      </c>
      <c r="B644" s="66" t="s">
        <v>305</v>
      </c>
      <c r="C644" s="2" t="s">
        <v>7</v>
      </c>
      <c r="D644" s="1" t="s">
        <v>20</v>
      </c>
      <c r="E644" s="2" t="s">
        <v>7</v>
      </c>
      <c r="F644" s="1" t="s">
        <v>8</v>
      </c>
      <c r="G644" s="70">
        <v>0</v>
      </c>
      <c r="H644" s="3"/>
      <c r="I644" s="101">
        <v>0.99945205479452004</v>
      </c>
      <c r="K644" s="1"/>
      <c r="L644" s="1"/>
    </row>
    <row r="645" spans="1:12" s="4" customFormat="1" x14ac:dyDescent="0.2">
      <c r="A645" s="65">
        <v>80</v>
      </c>
      <c r="B645" s="66" t="s">
        <v>305</v>
      </c>
      <c r="C645" s="2" t="s">
        <v>7</v>
      </c>
      <c r="D645" s="1" t="s">
        <v>20</v>
      </c>
      <c r="E645" s="2" t="s">
        <v>7</v>
      </c>
      <c r="F645" s="1" t="s">
        <v>8</v>
      </c>
      <c r="G645" s="70">
        <v>100</v>
      </c>
      <c r="H645" s="3"/>
      <c r="I645" s="101">
        <v>0.78082191780821797</v>
      </c>
      <c r="K645" s="1"/>
      <c r="L645" s="1"/>
    </row>
    <row r="646" spans="1:12" s="4" customFormat="1" x14ac:dyDescent="0.2">
      <c r="A646" s="65">
        <v>80</v>
      </c>
      <c r="B646" s="66" t="s">
        <v>305</v>
      </c>
      <c r="C646" s="2" t="s">
        <v>7</v>
      </c>
      <c r="D646" s="1" t="s">
        <v>20</v>
      </c>
      <c r="E646" s="2" t="s">
        <v>7</v>
      </c>
      <c r="F646" s="1" t="s">
        <v>8</v>
      </c>
      <c r="G646" s="70">
        <v>200</v>
      </c>
      <c r="H646" s="3"/>
      <c r="I646" s="101">
        <v>1.1753424657534199</v>
      </c>
      <c r="K646" s="1"/>
      <c r="L646" s="1"/>
    </row>
    <row r="647" spans="1:12" s="4" customFormat="1" x14ac:dyDescent="0.2">
      <c r="A647" s="65">
        <v>80</v>
      </c>
      <c r="B647" s="66" t="s">
        <v>305</v>
      </c>
      <c r="C647" s="2" t="s">
        <v>7</v>
      </c>
      <c r="D647" s="1" t="s">
        <v>20</v>
      </c>
      <c r="E647" s="2" t="s">
        <v>7</v>
      </c>
      <c r="F647" s="1" t="s">
        <v>8</v>
      </c>
      <c r="G647" s="70">
        <v>400</v>
      </c>
      <c r="H647" s="3"/>
      <c r="I647" s="101">
        <v>0.99945205479451804</v>
      </c>
      <c r="K647" s="1"/>
      <c r="L647" s="1"/>
    </row>
    <row r="648" spans="1:12" s="4" customFormat="1" x14ac:dyDescent="0.2">
      <c r="A648" s="65">
        <v>80</v>
      </c>
      <c r="B648" s="66" t="s">
        <v>305</v>
      </c>
      <c r="C648" s="2" t="s">
        <v>7</v>
      </c>
      <c r="D648" s="1" t="s">
        <v>20</v>
      </c>
      <c r="E648" s="2" t="s">
        <v>7</v>
      </c>
      <c r="F648" s="1" t="s">
        <v>8</v>
      </c>
      <c r="G648" s="70">
        <v>800</v>
      </c>
      <c r="H648" s="3"/>
      <c r="I648" s="101">
        <v>0.920547945205479</v>
      </c>
      <c r="K648" s="1"/>
      <c r="L648" s="1"/>
    </row>
    <row r="649" spans="1:12" s="4" customFormat="1" x14ac:dyDescent="0.2">
      <c r="A649" s="65">
        <v>80</v>
      </c>
      <c r="B649" s="66" t="s">
        <v>305</v>
      </c>
      <c r="C649" s="2" t="s">
        <v>7</v>
      </c>
      <c r="D649" s="1" t="s">
        <v>20</v>
      </c>
      <c r="E649" s="2" t="s">
        <v>7</v>
      </c>
      <c r="F649" s="1" t="s">
        <v>8</v>
      </c>
      <c r="G649" s="70">
        <v>1000</v>
      </c>
      <c r="H649" s="3"/>
      <c r="I649" s="101">
        <v>1.13424657534246</v>
      </c>
      <c r="K649" s="1"/>
      <c r="L649" s="1"/>
    </row>
    <row r="650" spans="1:12" s="4" customFormat="1" x14ac:dyDescent="0.2">
      <c r="A650" s="65">
        <v>80</v>
      </c>
      <c r="B650" s="66" t="s">
        <v>305</v>
      </c>
      <c r="C650" s="2" t="s">
        <v>7</v>
      </c>
      <c r="D650" s="1" t="s">
        <v>20</v>
      </c>
      <c r="E650" s="2" t="s">
        <v>7</v>
      </c>
      <c r="F650" s="1" t="s">
        <v>8</v>
      </c>
      <c r="G650" s="70">
        <v>1500</v>
      </c>
      <c r="H650" s="3"/>
      <c r="I650" s="101">
        <v>2.19945205479452</v>
      </c>
      <c r="K650" s="1"/>
      <c r="L650" s="1"/>
    </row>
    <row r="651" spans="1:12" s="4" customFormat="1" x14ac:dyDescent="0.2">
      <c r="A651" s="65">
        <v>80</v>
      </c>
      <c r="B651" s="66" t="s">
        <v>305</v>
      </c>
      <c r="C651" s="2" t="s">
        <v>7</v>
      </c>
      <c r="D651" s="1" t="s">
        <v>20</v>
      </c>
      <c r="E651" s="2" t="s">
        <v>7</v>
      </c>
      <c r="F651" s="1" t="s">
        <v>8</v>
      </c>
      <c r="G651" s="70">
        <v>2000</v>
      </c>
      <c r="H651" s="3"/>
      <c r="I651" s="101">
        <v>2.67287671232876</v>
      </c>
      <c r="K651" s="1"/>
      <c r="L651" s="1"/>
    </row>
    <row r="652" spans="1:12" s="4" customFormat="1" x14ac:dyDescent="0.2">
      <c r="A652" s="65">
        <v>80</v>
      </c>
      <c r="B652" s="66" t="s">
        <v>305</v>
      </c>
      <c r="C652" s="2" t="s">
        <v>7</v>
      </c>
      <c r="D652" s="1" t="s">
        <v>20</v>
      </c>
      <c r="E652" s="2" t="s">
        <v>7</v>
      </c>
      <c r="F652" s="1" t="s">
        <v>8</v>
      </c>
      <c r="G652" s="70">
        <v>2500</v>
      </c>
      <c r="H652" s="3"/>
      <c r="I652" s="101">
        <v>2.2191780821917799</v>
      </c>
      <c r="K652" s="1"/>
      <c r="L652" s="1"/>
    </row>
    <row r="653" spans="1:12" s="4" customFormat="1" x14ac:dyDescent="0.2">
      <c r="A653" s="65">
        <v>81</v>
      </c>
      <c r="B653" s="66" t="s">
        <v>288</v>
      </c>
      <c r="C653" s="2" t="s">
        <v>7</v>
      </c>
      <c r="D653" s="1" t="s">
        <v>8</v>
      </c>
      <c r="E653" s="2" t="s">
        <v>7</v>
      </c>
      <c r="F653" s="1" t="s">
        <v>18</v>
      </c>
      <c r="G653" s="70">
        <v>0</v>
      </c>
      <c r="H653" s="3">
        <v>5.2454417952313903E-4</v>
      </c>
      <c r="I653" s="101">
        <f>H653/$H$653</f>
        <v>1</v>
      </c>
      <c r="K653" s="1"/>
      <c r="L653" s="1"/>
    </row>
    <row r="654" spans="1:12" s="4" customFormat="1" x14ac:dyDescent="0.2">
      <c r="A654" s="65">
        <v>81</v>
      </c>
      <c r="B654" s="66" t="s">
        <v>288</v>
      </c>
      <c r="C654" s="2" t="s">
        <v>7</v>
      </c>
      <c r="D654" s="1" t="s">
        <v>8</v>
      </c>
      <c r="E654" s="2" t="s">
        <v>7</v>
      </c>
      <c r="F654" s="1" t="s">
        <v>18</v>
      </c>
      <c r="G654" s="70">
        <v>1E-4</v>
      </c>
      <c r="H654" s="3">
        <v>9.8737727910238292E-4</v>
      </c>
      <c r="I654" s="101">
        <f t="shared" ref="I654:I657" si="9">H654/$H$653</f>
        <v>1.8823529411764774</v>
      </c>
      <c r="K654" s="1"/>
      <c r="L654" s="1"/>
    </row>
    <row r="655" spans="1:12" s="4" customFormat="1" x14ac:dyDescent="0.2">
      <c r="A655" s="65">
        <v>81</v>
      </c>
      <c r="B655" s="66" t="s">
        <v>288</v>
      </c>
      <c r="C655" s="2" t="s">
        <v>7</v>
      </c>
      <c r="D655" s="1" t="s">
        <v>8</v>
      </c>
      <c r="E655" s="2" t="s">
        <v>7</v>
      </c>
      <c r="F655" s="1" t="s">
        <v>18</v>
      </c>
      <c r="G655" s="70">
        <v>1E-3</v>
      </c>
      <c r="H655" s="3">
        <v>1.24263674614305E-3</v>
      </c>
      <c r="I655" s="101">
        <f t="shared" si="9"/>
        <v>2.3689839572192488</v>
      </c>
      <c r="K655" s="1"/>
      <c r="L655" s="1"/>
    </row>
    <row r="656" spans="1:12" s="4" customFormat="1" x14ac:dyDescent="0.2">
      <c r="A656" s="65">
        <v>81</v>
      </c>
      <c r="B656" s="66" t="s">
        <v>288</v>
      </c>
      <c r="C656" s="2" t="s">
        <v>7</v>
      </c>
      <c r="D656" s="1" t="s">
        <v>8</v>
      </c>
      <c r="E656" s="2" t="s">
        <v>7</v>
      </c>
      <c r="F656" s="1" t="s">
        <v>18</v>
      </c>
      <c r="G656" s="70">
        <v>0.01</v>
      </c>
      <c r="H656" s="3">
        <v>3.4165497896213098E-3</v>
      </c>
      <c r="I656" s="101">
        <f t="shared" si="9"/>
        <v>6.5133689839572355</v>
      </c>
      <c r="K656" s="1"/>
      <c r="L656" s="1"/>
    </row>
    <row r="657" spans="1:12" s="4" customFormat="1" x14ac:dyDescent="0.2">
      <c r="A657" s="65">
        <v>81</v>
      </c>
      <c r="B657" s="66" t="s">
        <v>288</v>
      </c>
      <c r="C657" s="2" t="s">
        <v>7</v>
      </c>
      <c r="D657" s="1" t="s">
        <v>8</v>
      </c>
      <c r="E657" s="2" t="s">
        <v>7</v>
      </c>
      <c r="F657" s="1" t="s">
        <v>18</v>
      </c>
      <c r="G657" s="70">
        <v>0.1</v>
      </c>
      <c r="H657" s="3">
        <v>2.0476858345020998E-3</v>
      </c>
      <c r="I657" s="101">
        <f t="shared" si="9"/>
        <v>3.9037433155080334</v>
      </c>
      <c r="K657" s="1"/>
      <c r="L657" s="1"/>
    </row>
    <row r="658" spans="1:12" s="4" customFormat="1" x14ac:dyDescent="0.2">
      <c r="A658" s="65">
        <v>82</v>
      </c>
      <c r="B658" s="66" t="s">
        <v>291</v>
      </c>
      <c r="C658" s="2" t="s">
        <v>7</v>
      </c>
      <c r="D658" s="1"/>
      <c r="E658" s="2" t="s">
        <v>7</v>
      </c>
      <c r="F658" s="1"/>
      <c r="G658" s="70">
        <v>0</v>
      </c>
      <c r="H658" s="3">
        <v>1.755E-7</v>
      </c>
      <c r="I658" s="101">
        <f>H658/$H$658</f>
        <v>1</v>
      </c>
      <c r="K658" s="1"/>
      <c r="L658" s="1"/>
    </row>
    <row r="659" spans="1:12" s="4" customFormat="1" x14ac:dyDescent="0.2">
      <c r="A659" s="65">
        <v>82</v>
      </c>
      <c r="B659" s="66" t="s">
        <v>291</v>
      </c>
      <c r="C659" s="2" t="s">
        <v>7</v>
      </c>
      <c r="D659" s="1"/>
      <c r="E659" s="2" t="s">
        <v>7</v>
      </c>
      <c r="F659" s="1"/>
      <c r="G659" s="70">
        <v>0.1</v>
      </c>
      <c r="H659" s="3">
        <v>2.4600000000000001E-7</v>
      </c>
      <c r="I659" s="101">
        <f t="shared" ref="I659:I661" si="10">H659/$H$658</f>
        <v>1.4017094017094016</v>
      </c>
      <c r="K659" s="1"/>
      <c r="L659" s="1"/>
    </row>
    <row r="660" spans="1:12" s="4" customFormat="1" x14ac:dyDescent="0.2">
      <c r="A660" s="65">
        <v>82</v>
      </c>
      <c r="B660" s="66" t="s">
        <v>291</v>
      </c>
      <c r="C660" s="2" t="s">
        <v>7</v>
      </c>
      <c r="D660" s="1"/>
      <c r="E660" s="2" t="s">
        <v>7</v>
      </c>
      <c r="F660" s="1"/>
      <c r="G660" s="70">
        <v>0.5</v>
      </c>
      <c r="H660" s="3">
        <v>3.855E-7</v>
      </c>
      <c r="I660" s="101">
        <f t="shared" si="10"/>
        <v>2.1965811965811968</v>
      </c>
      <c r="K660" s="1"/>
      <c r="L660" s="1"/>
    </row>
    <row r="661" spans="1:12" s="4" customFormat="1" x14ac:dyDescent="0.2">
      <c r="A661" s="65">
        <v>82</v>
      </c>
      <c r="B661" s="66" t="s">
        <v>291</v>
      </c>
      <c r="C661" s="2" t="s">
        <v>7</v>
      </c>
      <c r="D661" s="1"/>
      <c r="E661" s="2" t="s">
        <v>7</v>
      </c>
      <c r="F661" s="1"/>
      <c r="G661" s="70">
        <v>1</v>
      </c>
      <c r="H661" s="3">
        <v>2.0349999999999999E-7</v>
      </c>
      <c r="I661" s="101">
        <f t="shared" si="10"/>
        <v>1.1595441595441596</v>
      </c>
      <c r="K661" s="1"/>
      <c r="L661" s="1"/>
    </row>
    <row r="662" spans="1:12" s="4" customFormat="1" x14ac:dyDescent="0.2">
      <c r="A662" s="65">
        <v>82</v>
      </c>
      <c r="B662" s="66" t="s">
        <v>292</v>
      </c>
      <c r="C662" s="2" t="s">
        <v>7</v>
      </c>
      <c r="D662" s="1"/>
      <c r="E662" s="2" t="s">
        <v>7</v>
      </c>
      <c r="F662" s="1"/>
      <c r="G662" s="70">
        <v>0</v>
      </c>
      <c r="H662" s="3">
        <v>1.7635270541082099E-7</v>
      </c>
      <c r="I662" s="101">
        <f>H662/$H$662</f>
        <v>1</v>
      </c>
      <c r="K662" s="1"/>
      <c r="L662" s="1"/>
    </row>
    <row r="663" spans="1:12" s="4" customFormat="1" x14ac:dyDescent="0.2">
      <c r="A663" s="65">
        <v>82</v>
      </c>
      <c r="B663" s="66" t="s">
        <v>292</v>
      </c>
      <c r="C663" s="2" t="s">
        <v>7</v>
      </c>
      <c r="D663" s="1"/>
      <c r="E663" s="2" t="s">
        <v>7</v>
      </c>
      <c r="F663" s="1"/>
      <c r="G663" s="70">
        <v>0.1</v>
      </c>
      <c r="H663" s="3">
        <v>2.0941883767535E-7</v>
      </c>
      <c r="I663" s="101">
        <f t="shared" ref="I663:I665" si="11">H663/$H$662</f>
        <v>1.1875000000000004</v>
      </c>
      <c r="K663" s="1"/>
      <c r="L663" s="1"/>
    </row>
    <row r="664" spans="1:12" s="4" customFormat="1" x14ac:dyDescent="0.2">
      <c r="A664" s="65">
        <v>82</v>
      </c>
      <c r="B664" s="66" t="s">
        <v>292</v>
      </c>
      <c r="C664" s="2" t="s">
        <v>7</v>
      </c>
      <c r="D664" s="1"/>
      <c r="E664" s="2" t="s">
        <v>7</v>
      </c>
      <c r="F664" s="1"/>
      <c r="G664" s="70">
        <v>0.5</v>
      </c>
      <c r="H664" s="3">
        <v>3.0861723446893702E-7</v>
      </c>
      <c r="I664" s="101">
        <f t="shared" si="11"/>
        <v>1.7500000000000016</v>
      </c>
      <c r="K664" s="1"/>
      <c r="L664" s="1"/>
    </row>
    <row r="665" spans="1:12" s="4" customFormat="1" x14ac:dyDescent="0.2">
      <c r="A665" s="65">
        <v>82</v>
      </c>
      <c r="B665" s="66" t="s">
        <v>292</v>
      </c>
      <c r="C665" s="2" t="s">
        <v>7</v>
      </c>
      <c r="D665" s="1"/>
      <c r="E665" s="2" t="s">
        <v>7</v>
      </c>
      <c r="F665" s="1"/>
      <c r="G665" s="70">
        <v>1</v>
      </c>
      <c r="H665" s="3">
        <v>2.6653306613226398E-7</v>
      </c>
      <c r="I665" s="101">
        <f t="shared" si="11"/>
        <v>1.5113636363636389</v>
      </c>
      <c r="K665" s="1"/>
      <c r="L665" s="1"/>
    </row>
    <row r="666" spans="1:12" s="4" customFormat="1" x14ac:dyDescent="0.2">
      <c r="A666" s="65">
        <v>83</v>
      </c>
      <c r="B666" s="66" t="s">
        <v>302</v>
      </c>
      <c r="C666" s="2" t="s">
        <v>7</v>
      </c>
      <c r="D666" s="1" t="s">
        <v>8</v>
      </c>
      <c r="E666" s="2" t="s">
        <v>7</v>
      </c>
      <c r="F666" s="1" t="s">
        <v>67</v>
      </c>
      <c r="G666" s="70">
        <v>0</v>
      </c>
      <c r="H666" s="3">
        <v>5.5287009063444102E-6</v>
      </c>
      <c r="I666" s="101">
        <f>H666/$H$666</f>
        <v>1</v>
      </c>
      <c r="K666" s="1"/>
      <c r="L666" s="1"/>
    </row>
    <row r="667" spans="1:12" s="4" customFormat="1" x14ac:dyDescent="0.2">
      <c r="A667" s="65">
        <v>83</v>
      </c>
      <c r="B667" s="66" t="s">
        <v>302</v>
      </c>
      <c r="C667" s="2" t="s">
        <v>7</v>
      </c>
      <c r="D667" s="1" t="s">
        <v>8</v>
      </c>
      <c r="E667" s="2" t="s">
        <v>7</v>
      </c>
      <c r="F667" s="1" t="s">
        <v>67</v>
      </c>
      <c r="G667" s="70">
        <v>0.1</v>
      </c>
      <c r="H667" s="3">
        <v>1.35271903323262E-5</v>
      </c>
      <c r="I667" s="101">
        <f t="shared" ref="I667:I670" si="12">H667/$H$666</f>
        <v>2.446721311475395</v>
      </c>
      <c r="K667" s="1"/>
      <c r="L667" s="1"/>
    </row>
    <row r="668" spans="1:12" s="4" customFormat="1" x14ac:dyDescent="0.2">
      <c r="A668" s="65">
        <v>83</v>
      </c>
      <c r="B668" s="66" t="s">
        <v>302</v>
      </c>
      <c r="C668" s="2" t="s">
        <v>7</v>
      </c>
      <c r="D668" s="1" t="s">
        <v>8</v>
      </c>
      <c r="E668" s="2" t="s">
        <v>7</v>
      </c>
      <c r="F668" s="1" t="s">
        <v>67</v>
      </c>
      <c r="G668" s="70">
        <v>1</v>
      </c>
      <c r="H668" s="3">
        <v>9.1767371601208393E-6</v>
      </c>
      <c r="I668" s="101">
        <f t="shared" si="12"/>
        <v>1.6598360655737694</v>
      </c>
      <c r="K668" s="1"/>
      <c r="L668" s="1"/>
    </row>
    <row r="669" spans="1:12" s="4" customFormat="1" x14ac:dyDescent="0.2">
      <c r="A669" s="65">
        <v>83</v>
      </c>
      <c r="B669" s="66" t="s">
        <v>302</v>
      </c>
      <c r="C669" s="2" t="s">
        <v>7</v>
      </c>
      <c r="D669" s="1" t="s">
        <v>8</v>
      </c>
      <c r="E669" s="2" t="s">
        <v>7</v>
      </c>
      <c r="F669" s="1" t="s">
        <v>67</v>
      </c>
      <c r="G669" s="70">
        <v>10</v>
      </c>
      <c r="H669" s="3">
        <v>7.0241691842900296E-6</v>
      </c>
      <c r="I669" s="101">
        <f t="shared" si="12"/>
        <v>1.2704918032786885</v>
      </c>
      <c r="K669" s="1"/>
      <c r="L669" s="1"/>
    </row>
    <row r="670" spans="1:12" s="4" customFormat="1" x14ac:dyDescent="0.2">
      <c r="A670" s="65">
        <v>83</v>
      </c>
      <c r="B670" s="66" t="s">
        <v>302</v>
      </c>
      <c r="C670" s="2" t="s">
        <v>7</v>
      </c>
      <c r="D670" s="1" t="s">
        <v>8</v>
      </c>
      <c r="E670" s="2" t="s">
        <v>7</v>
      </c>
      <c r="F670" s="1" t="s">
        <v>67</v>
      </c>
      <c r="G670" s="70">
        <v>100</v>
      </c>
      <c r="H670" s="3">
        <v>7.6132930513595103E-6</v>
      </c>
      <c r="I670" s="101">
        <f t="shared" si="12"/>
        <v>1.3770491803278679</v>
      </c>
      <c r="K670" s="1"/>
      <c r="L670" s="1"/>
    </row>
    <row r="671" spans="1:12" s="4" customFormat="1" x14ac:dyDescent="0.2">
      <c r="A671" s="65">
        <v>84</v>
      </c>
      <c r="B671" s="66" t="s">
        <v>296</v>
      </c>
      <c r="C671" s="2" t="s">
        <v>7</v>
      </c>
      <c r="D671" s="1" t="s">
        <v>20</v>
      </c>
      <c r="E671" s="2" t="s">
        <v>7</v>
      </c>
      <c r="F671" s="1" t="s">
        <v>8</v>
      </c>
      <c r="G671" s="70">
        <v>0</v>
      </c>
      <c r="H671" s="3"/>
      <c r="I671" s="101">
        <v>1.00184672206832</v>
      </c>
      <c r="K671" s="1"/>
      <c r="L671" s="1"/>
    </row>
    <row r="672" spans="1:12" s="4" customFormat="1" x14ac:dyDescent="0.2">
      <c r="A672" s="65">
        <v>84</v>
      </c>
      <c r="B672" s="66" t="s">
        <v>296</v>
      </c>
      <c r="C672" s="2" t="s">
        <v>7</v>
      </c>
      <c r="D672" s="1" t="s">
        <v>20</v>
      </c>
      <c r="E672" s="2" t="s">
        <v>7</v>
      </c>
      <c r="F672" s="1" t="s">
        <v>8</v>
      </c>
      <c r="G672" s="70">
        <v>1.25E-3</v>
      </c>
      <c r="H672" s="3"/>
      <c r="I672" s="101">
        <v>4.8347183748845799</v>
      </c>
      <c r="K672" s="1"/>
      <c r="L672" s="1"/>
    </row>
    <row r="673" spans="1:12" s="4" customFormat="1" x14ac:dyDescent="0.2">
      <c r="A673" s="65">
        <v>84</v>
      </c>
      <c r="B673" s="66" t="s">
        <v>296</v>
      </c>
      <c r="C673" s="2" t="s">
        <v>7</v>
      </c>
      <c r="D673" s="1" t="s">
        <v>20</v>
      </c>
      <c r="E673" s="2" t="s">
        <v>7</v>
      </c>
      <c r="F673" s="1" t="s">
        <v>8</v>
      </c>
      <c r="G673" s="70">
        <v>2.5000000000000001E-3</v>
      </c>
      <c r="H673" s="3"/>
      <c r="I673" s="101">
        <v>5.7202216066481997</v>
      </c>
      <c r="K673" s="1"/>
      <c r="L673" s="1"/>
    </row>
    <row r="674" spans="1:12" s="4" customFormat="1" x14ac:dyDescent="0.2">
      <c r="A674" s="65">
        <v>84</v>
      </c>
      <c r="B674" s="66" t="s">
        <v>296</v>
      </c>
      <c r="C674" s="2" t="s">
        <v>7</v>
      </c>
      <c r="D674" s="1" t="s">
        <v>20</v>
      </c>
      <c r="E674" s="2" t="s">
        <v>7</v>
      </c>
      <c r="F674" s="1" t="s">
        <v>8</v>
      </c>
      <c r="G674" s="70">
        <v>5.0000000000000001E-3</v>
      </c>
      <c r="H674" s="3"/>
      <c r="I674" s="101">
        <v>4.4210526315789398</v>
      </c>
      <c r="K674" s="1"/>
      <c r="L674" s="1"/>
    </row>
    <row r="675" spans="1:12" s="4" customFormat="1" x14ac:dyDescent="0.2">
      <c r="A675" s="65">
        <v>84</v>
      </c>
      <c r="B675" s="66" t="s">
        <v>296</v>
      </c>
      <c r="C675" s="2" t="s">
        <v>7</v>
      </c>
      <c r="D675" s="1" t="s">
        <v>20</v>
      </c>
      <c r="E675" s="2" t="s">
        <v>7</v>
      </c>
      <c r="F675" s="1" t="s">
        <v>8</v>
      </c>
      <c r="G675" s="70">
        <v>0.01</v>
      </c>
      <c r="H675" s="3"/>
      <c r="I675" s="101">
        <v>3.9039704524469001</v>
      </c>
      <c r="K675" s="1"/>
      <c r="L675" s="1"/>
    </row>
    <row r="676" spans="1:12" s="4" customFormat="1" x14ac:dyDescent="0.2">
      <c r="A676" s="65">
        <v>84</v>
      </c>
      <c r="B676" s="66" t="s">
        <v>308</v>
      </c>
      <c r="C676" s="2" t="s">
        <v>7</v>
      </c>
      <c r="D676" s="1" t="s">
        <v>20</v>
      </c>
      <c r="E676" s="2" t="s">
        <v>7</v>
      </c>
      <c r="F676" s="1" t="s">
        <v>8</v>
      </c>
      <c r="G676" s="70">
        <v>0</v>
      </c>
      <c r="H676" s="3"/>
      <c r="I676" s="101">
        <v>1.0027548209366299</v>
      </c>
      <c r="K676" s="1"/>
      <c r="L676" s="1"/>
    </row>
    <row r="677" spans="1:12" s="4" customFormat="1" x14ac:dyDescent="0.2">
      <c r="A677" s="65">
        <v>84</v>
      </c>
      <c r="B677" s="66" t="s">
        <v>308</v>
      </c>
      <c r="C677" s="2" t="s">
        <v>7</v>
      </c>
      <c r="D677" s="1" t="s">
        <v>20</v>
      </c>
      <c r="E677" s="2" t="s">
        <v>7</v>
      </c>
      <c r="F677" s="1" t="s">
        <v>8</v>
      </c>
      <c r="G677" s="70">
        <v>1.25E-3</v>
      </c>
      <c r="H677" s="3"/>
      <c r="I677" s="101">
        <v>3.3168044077134899</v>
      </c>
      <c r="K677" s="1"/>
      <c r="L677" s="1"/>
    </row>
    <row r="678" spans="1:12" s="4" customFormat="1" x14ac:dyDescent="0.2">
      <c r="A678" s="65">
        <v>84</v>
      </c>
      <c r="B678" s="66" t="s">
        <v>308</v>
      </c>
      <c r="C678" s="2" t="s">
        <v>7</v>
      </c>
      <c r="D678" s="1" t="s">
        <v>20</v>
      </c>
      <c r="E678" s="2" t="s">
        <v>7</v>
      </c>
      <c r="F678" s="1" t="s">
        <v>8</v>
      </c>
      <c r="G678" s="70">
        <v>2.5000000000000001E-3</v>
      </c>
      <c r="H678" s="3"/>
      <c r="I678" s="101">
        <v>5.0394857667584896</v>
      </c>
      <c r="K678" s="1"/>
      <c r="L678" s="1"/>
    </row>
    <row r="679" spans="1:12" s="4" customFormat="1" x14ac:dyDescent="0.2">
      <c r="A679" s="65">
        <v>84</v>
      </c>
      <c r="B679" s="66" t="s">
        <v>308</v>
      </c>
      <c r="C679" s="2" t="s">
        <v>7</v>
      </c>
      <c r="D679" s="1" t="s">
        <v>20</v>
      </c>
      <c r="E679" s="2" t="s">
        <v>7</v>
      </c>
      <c r="F679" s="1" t="s">
        <v>8</v>
      </c>
      <c r="G679" s="70">
        <v>5.0000000000000001E-3</v>
      </c>
      <c r="H679" s="3"/>
      <c r="I679" s="101">
        <v>2.1854912764003598</v>
      </c>
      <c r="K679" s="1"/>
      <c r="L679" s="1"/>
    </row>
    <row r="680" spans="1:12" s="4" customFormat="1" x14ac:dyDescent="0.2">
      <c r="A680" s="65">
        <v>84</v>
      </c>
      <c r="B680" s="66" t="s">
        <v>308</v>
      </c>
      <c r="C680" s="2" t="s">
        <v>7</v>
      </c>
      <c r="D680" s="1" t="s">
        <v>20</v>
      </c>
      <c r="E680" s="2" t="s">
        <v>7</v>
      </c>
      <c r="F680" s="1" t="s">
        <v>8</v>
      </c>
      <c r="G680" s="70">
        <v>0.01</v>
      </c>
      <c r="H680" s="3"/>
      <c r="I680" s="101">
        <v>2.6932966023875098</v>
      </c>
      <c r="K680" s="1"/>
      <c r="L680" s="1"/>
    </row>
    <row r="681" spans="1:12" s="4" customFormat="1" x14ac:dyDescent="0.2">
      <c r="A681" s="65">
        <v>85</v>
      </c>
      <c r="B681" s="66" t="s">
        <v>309</v>
      </c>
      <c r="C681" s="2" t="s">
        <v>7</v>
      </c>
      <c r="D681" s="1" t="s">
        <v>9</v>
      </c>
      <c r="E681" s="2" t="s">
        <v>7</v>
      </c>
      <c r="F681" s="1" t="s">
        <v>8</v>
      </c>
      <c r="G681" s="70">
        <v>0</v>
      </c>
      <c r="H681" s="3"/>
      <c r="I681" s="101">
        <v>0.99926308032424405</v>
      </c>
      <c r="K681" s="1"/>
      <c r="L681" s="1"/>
    </row>
    <row r="682" spans="1:12" s="4" customFormat="1" x14ac:dyDescent="0.2">
      <c r="A682" s="65">
        <v>85</v>
      </c>
      <c r="B682" s="66" t="s">
        <v>309</v>
      </c>
      <c r="C682" s="2" t="s">
        <v>7</v>
      </c>
      <c r="D682" s="1" t="s">
        <v>9</v>
      </c>
      <c r="E682" s="2" t="s">
        <v>7</v>
      </c>
      <c r="F682" s="1" t="s">
        <v>8</v>
      </c>
      <c r="G682" s="70">
        <v>1.0000000000000001E-5</v>
      </c>
      <c r="H682" s="3"/>
      <c r="I682" s="101">
        <v>1.0257921886514301</v>
      </c>
      <c r="K682" s="1"/>
      <c r="L682" s="1"/>
    </row>
    <row r="683" spans="1:12" s="4" customFormat="1" x14ac:dyDescent="0.2">
      <c r="A683" s="65">
        <v>85</v>
      </c>
      <c r="B683" s="66" t="s">
        <v>309</v>
      </c>
      <c r="C683" s="2" t="s">
        <v>7</v>
      </c>
      <c r="D683" s="1" t="s">
        <v>9</v>
      </c>
      <c r="E683" s="2" t="s">
        <v>7</v>
      </c>
      <c r="F683" s="1" t="s">
        <v>8</v>
      </c>
      <c r="G683" s="70">
        <v>1E-4</v>
      </c>
      <c r="H683" s="3"/>
      <c r="I683" s="101">
        <v>1.23802505526897</v>
      </c>
      <c r="K683" s="1"/>
      <c r="L683" s="1"/>
    </row>
    <row r="684" spans="1:12" s="4" customFormat="1" x14ac:dyDescent="0.2">
      <c r="A684" s="65">
        <v>85</v>
      </c>
      <c r="B684" s="66" t="s">
        <v>309</v>
      </c>
      <c r="C684" s="2" t="s">
        <v>7</v>
      </c>
      <c r="D684" s="1" t="s">
        <v>9</v>
      </c>
      <c r="E684" s="2" t="s">
        <v>7</v>
      </c>
      <c r="F684" s="1" t="s">
        <v>8</v>
      </c>
      <c r="G684" s="70">
        <v>1E-3</v>
      </c>
      <c r="H684" s="3"/>
      <c r="I684" s="101">
        <v>1.78924097273397</v>
      </c>
      <c r="K684" s="1"/>
      <c r="L684" s="1"/>
    </row>
    <row r="685" spans="1:12" s="4" customFormat="1" x14ac:dyDescent="0.2">
      <c r="A685" s="65">
        <v>85</v>
      </c>
      <c r="B685" s="66" t="s">
        <v>309</v>
      </c>
      <c r="C685" s="2" t="s">
        <v>7</v>
      </c>
      <c r="D685" s="1" t="s">
        <v>9</v>
      </c>
      <c r="E685" s="2" t="s">
        <v>7</v>
      </c>
      <c r="F685" s="1" t="s">
        <v>8</v>
      </c>
      <c r="G685" s="70">
        <v>0.01</v>
      </c>
      <c r="H685" s="3"/>
      <c r="I685" s="101">
        <v>2.7413411938098702</v>
      </c>
      <c r="K685" s="1"/>
      <c r="L685" s="1"/>
    </row>
    <row r="686" spans="1:12" s="4" customFormat="1" x14ac:dyDescent="0.2">
      <c r="A686" s="65">
        <v>85</v>
      </c>
      <c r="B686" s="66" t="s">
        <v>309</v>
      </c>
      <c r="C686" s="2" t="s">
        <v>7</v>
      </c>
      <c r="D686" s="1" t="s">
        <v>9</v>
      </c>
      <c r="E686" s="2" t="s">
        <v>7</v>
      </c>
      <c r="F686" s="1" t="s">
        <v>8</v>
      </c>
      <c r="G686" s="70">
        <v>0.1</v>
      </c>
      <c r="H686" s="3"/>
      <c r="I686" s="101">
        <v>1.1938098747236501</v>
      </c>
      <c r="K686" s="1"/>
      <c r="L686" s="1"/>
    </row>
    <row r="687" spans="1:12" s="4" customFormat="1" x14ac:dyDescent="0.2">
      <c r="A687" s="65">
        <v>85</v>
      </c>
      <c r="B687" s="66" t="s">
        <v>310</v>
      </c>
      <c r="C687" s="2" t="s">
        <v>7</v>
      </c>
      <c r="D687" s="1" t="s">
        <v>9</v>
      </c>
      <c r="E687" s="2" t="s">
        <v>7</v>
      </c>
      <c r="F687" s="1" t="s">
        <v>8</v>
      </c>
      <c r="G687" s="70">
        <v>0</v>
      </c>
      <c r="H687" s="3"/>
      <c r="I687" s="101">
        <v>0.99926308032424405</v>
      </c>
      <c r="K687" s="1"/>
      <c r="L687" s="1"/>
    </row>
    <row r="688" spans="1:12" s="4" customFormat="1" x14ac:dyDescent="0.2">
      <c r="A688" s="65">
        <v>85</v>
      </c>
      <c r="B688" s="66" t="s">
        <v>310</v>
      </c>
      <c r="C688" s="2" t="s">
        <v>7</v>
      </c>
      <c r="D688" s="1" t="s">
        <v>9</v>
      </c>
      <c r="E688" s="2" t="s">
        <v>7</v>
      </c>
      <c r="F688" s="1" t="s">
        <v>8</v>
      </c>
      <c r="G688" s="70">
        <v>1.0000000000000001E-5</v>
      </c>
      <c r="H688" s="3"/>
      <c r="I688" s="101">
        <v>1.1260132645541601</v>
      </c>
      <c r="K688" s="1"/>
      <c r="L688" s="1"/>
    </row>
    <row r="689" spans="1:12" s="4" customFormat="1" x14ac:dyDescent="0.2">
      <c r="A689" s="65">
        <v>85</v>
      </c>
      <c r="B689" s="66" t="s">
        <v>310</v>
      </c>
      <c r="C689" s="2" t="s">
        <v>7</v>
      </c>
      <c r="D689" s="1" t="s">
        <v>9</v>
      </c>
      <c r="E689" s="2" t="s">
        <v>7</v>
      </c>
      <c r="F689" s="1" t="s">
        <v>8</v>
      </c>
      <c r="G689" s="70">
        <v>1E-4</v>
      </c>
      <c r="H689" s="3"/>
      <c r="I689" s="101">
        <v>1.4266764922623401</v>
      </c>
      <c r="K689" s="1"/>
      <c r="L689" s="1"/>
    </row>
    <row r="690" spans="1:12" s="4" customFormat="1" x14ac:dyDescent="0.2">
      <c r="A690" s="65">
        <v>85</v>
      </c>
      <c r="B690" s="66" t="s">
        <v>310</v>
      </c>
      <c r="C690" s="2" t="s">
        <v>7</v>
      </c>
      <c r="D690" s="1" t="s">
        <v>9</v>
      </c>
      <c r="E690" s="2" t="s">
        <v>7</v>
      </c>
      <c r="F690" s="1" t="s">
        <v>8</v>
      </c>
      <c r="G690" s="70">
        <v>1E-3</v>
      </c>
      <c r="H690" s="3"/>
      <c r="I690" s="101">
        <v>2.89756816507</v>
      </c>
      <c r="K690" s="1"/>
      <c r="L690" s="1"/>
    </row>
    <row r="691" spans="1:12" s="4" customFormat="1" x14ac:dyDescent="0.2">
      <c r="A691" s="65">
        <v>85</v>
      </c>
      <c r="B691" s="66" t="s">
        <v>310</v>
      </c>
      <c r="C691" s="2" t="s">
        <v>7</v>
      </c>
      <c r="D691" s="1" t="s">
        <v>9</v>
      </c>
      <c r="E691" s="2" t="s">
        <v>7</v>
      </c>
      <c r="F691" s="1" t="s">
        <v>8</v>
      </c>
      <c r="G691" s="70">
        <v>0.01</v>
      </c>
      <c r="H691" s="3"/>
      <c r="I691" s="101">
        <v>3.3839351510685298</v>
      </c>
      <c r="K691" s="1"/>
      <c r="L691" s="1"/>
    </row>
    <row r="692" spans="1:12" s="4" customFormat="1" x14ac:dyDescent="0.2">
      <c r="A692" s="65">
        <v>85</v>
      </c>
      <c r="B692" s="66" t="s">
        <v>310</v>
      </c>
      <c r="C692" s="2" t="s">
        <v>7</v>
      </c>
      <c r="D692" s="1" t="s">
        <v>9</v>
      </c>
      <c r="E692" s="2" t="s">
        <v>7</v>
      </c>
      <c r="F692" s="1" t="s">
        <v>8</v>
      </c>
      <c r="G692" s="70">
        <v>0.1</v>
      </c>
      <c r="H692" s="3"/>
      <c r="I692" s="101">
        <v>2.1665438467207001</v>
      </c>
      <c r="K692" s="1"/>
      <c r="L692" s="1"/>
    </row>
    <row r="693" spans="1:12" s="4" customFormat="1" x14ac:dyDescent="0.2">
      <c r="A693" s="65">
        <v>85</v>
      </c>
      <c r="B693" s="66" t="s">
        <v>312</v>
      </c>
      <c r="C693" s="2" t="s">
        <v>7</v>
      </c>
      <c r="D693" s="1" t="s">
        <v>9</v>
      </c>
      <c r="E693" s="2" t="s">
        <v>7</v>
      </c>
      <c r="F693" s="1" t="s">
        <v>8</v>
      </c>
      <c r="G693" s="70">
        <v>0</v>
      </c>
      <c r="H693" s="3"/>
      <c r="I693" s="101">
        <v>0.99926308032424405</v>
      </c>
      <c r="K693" s="1"/>
      <c r="L693" s="1"/>
    </row>
    <row r="694" spans="1:12" s="4" customFormat="1" x14ac:dyDescent="0.2">
      <c r="A694" s="65">
        <v>85</v>
      </c>
      <c r="B694" s="66" t="s">
        <v>312</v>
      </c>
      <c r="C694" s="2" t="s">
        <v>7</v>
      </c>
      <c r="D694" s="1" t="s">
        <v>9</v>
      </c>
      <c r="E694" s="2" t="s">
        <v>7</v>
      </c>
      <c r="F694" s="1" t="s">
        <v>8</v>
      </c>
      <c r="G694" s="70">
        <v>1.0000000000000001E-5</v>
      </c>
      <c r="H694" s="3"/>
      <c r="I694" s="101">
        <v>0.91672807663964595</v>
      </c>
      <c r="K694" s="1"/>
      <c r="L694" s="1"/>
    </row>
    <row r="695" spans="1:12" s="4" customFormat="1" x14ac:dyDescent="0.2">
      <c r="A695" s="65">
        <v>85</v>
      </c>
      <c r="B695" s="66" t="s">
        <v>312</v>
      </c>
      <c r="C695" s="2" t="s">
        <v>7</v>
      </c>
      <c r="D695" s="1" t="s">
        <v>9</v>
      </c>
      <c r="E695" s="2" t="s">
        <v>7</v>
      </c>
      <c r="F695" s="1" t="s">
        <v>8</v>
      </c>
      <c r="G695" s="70">
        <v>1E-4</v>
      </c>
      <c r="H695" s="3"/>
      <c r="I695" s="101">
        <v>1.4974207811348501</v>
      </c>
      <c r="K695" s="1"/>
      <c r="L695" s="1"/>
    </row>
    <row r="696" spans="1:12" s="4" customFormat="1" x14ac:dyDescent="0.2">
      <c r="A696" s="65">
        <v>85</v>
      </c>
      <c r="B696" s="66" t="s">
        <v>312</v>
      </c>
      <c r="C696" s="2" t="s">
        <v>7</v>
      </c>
      <c r="D696" s="1" t="s">
        <v>9</v>
      </c>
      <c r="E696" s="2" t="s">
        <v>7</v>
      </c>
      <c r="F696" s="1" t="s">
        <v>8</v>
      </c>
      <c r="G696" s="70">
        <v>1E-3</v>
      </c>
      <c r="H696" s="3"/>
      <c r="I696" s="101">
        <v>2.1577008106116402</v>
      </c>
      <c r="K696" s="1"/>
      <c r="L696" s="1"/>
    </row>
    <row r="697" spans="1:12" s="4" customFormat="1" x14ac:dyDescent="0.2">
      <c r="A697" s="65">
        <v>85</v>
      </c>
      <c r="B697" s="66" t="s">
        <v>312</v>
      </c>
      <c r="C697" s="2" t="s">
        <v>7</v>
      </c>
      <c r="D697" s="1" t="s">
        <v>9</v>
      </c>
      <c r="E697" s="2" t="s">
        <v>7</v>
      </c>
      <c r="F697" s="1" t="s">
        <v>8</v>
      </c>
      <c r="G697" s="70">
        <v>0.01</v>
      </c>
      <c r="H697" s="3"/>
      <c r="I697" s="101">
        <v>1.38835666912306</v>
      </c>
      <c r="K697" s="1"/>
      <c r="L697" s="1"/>
    </row>
    <row r="698" spans="1:12" s="4" customFormat="1" x14ac:dyDescent="0.2">
      <c r="A698" s="65">
        <v>85</v>
      </c>
      <c r="B698" s="66" t="s">
        <v>312</v>
      </c>
      <c r="C698" s="2" t="s">
        <v>7</v>
      </c>
      <c r="D698" s="1" t="s">
        <v>9</v>
      </c>
      <c r="E698" s="2" t="s">
        <v>7</v>
      </c>
      <c r="F698" s="1" t="s">
        <v>8</v>
      </c>
      <c r="G698" s="70">
        <v>0.1</v>
      </c>
      <c r="H698" s="3"/>
      <c r="I698" s="101">
        <v>1.72733971997052</v>
      </c>
      <c r="K698" s="1"/>
      <c r="L698" s="1"/>
    </row>
    <row r="699" spans="1:12" s="4" customFormat="1" x14ac:dyDescent="0.2">
      <c r="A699" s="65">
        <v>85</v>
      </c>
      <c r="B699" s="66" t="s">
        <v>298</v>
      </c>
      <c r="C699" s="2" t="s">
        <v>7</v>
      </c>
      <c r="D699" s="1" t="s">
        <v>9</v>
      </c>
      <c r="E699" s="2" t="s">
        <v>7</v>
      </c>
      <c r="F699" s="1" t="s">
        <v>8</v>
      </c>
      <c r="G699" s="70">
        <v>0</v>
      </c>
      <c r="H699" s="3"/>
      <c r="I699" s="101">
        <v>0.99926308032424405</v>
      </c>
      <c r="K699" s="1"/>
      <c r="L699" s="1"/>
    </row>
    <row r="700" spans="1:12" s="4" customFormat="1" x14ac:dyDescent="0.2">
      <c r="A700" s="65">
        <v>85</v>
      </c>
      <c r="B700" s="66" t="s">
        <v>298</v>
      </c>
      <c r="C700" s="2" t="s">
        <v>7</v>
      </c>
      <c r="D700" s="1" t="s">
        <v>9</v>
      </c>
      <c r="E700" s="2" t="s">
        <v>7</v>
      </c>
      <c r="F700" s="1" t="s">
        <v>8</v>
      </c>
      <c r="G700" s="70">
        <v>1.0000000000000001E-5</v>
      </c>
      <c r="H700" s="3"/>
      <c r="I700" s="101">
        <v>1.4296241709653601</v>
      </c>
      <c r="K700" s="1"/>
      <c r="L700" s="1"/>
    </row>
    <row r="701" spans="1:12" x14ac:dyDescent="0.2">
      <c r="A701" s="65">
        <v>85</v>
      </c>
      <c r="B701" s="66" t="s">
        <v>298</v>
      </c>
      <c r="C701" s="2" t="s">
        <v>7</v>
      </c>
      <c r="D701" s="1" t="s">
        <v>9</v>
      </c>
      <c r="E701" s="2" t="s">
        <v>7</v>
      </c>
      <c r="F701" s="1" t="s">
        <v>8</v>
      </c>
      <c r="G701" s="70">
        <v>1E-4</v>
      </c>
      <c r="I701" s="101">
        <v>0.96683861459100895</v>
      </c>
    </row>
    <row r="702" spans="1:12" x14ac:dyDescent="0.2">
      <c r="A702" s="65">
        <v>85</v>
      </c>
      <c r="B702" s="66" t="s">
        <v>298</v>
      </c>
      <c r="C702" s="2" t="s">
        <v>7</v>
      </c>
      <c r="D702" s="1" t="s">
        <v>9</v>
      </c>
      <c r="E702" s="2" t="s">
        <v>7</v>
      </c>
      <c r="F702" s="1" t="s">
        <v>8</v>
      </c>
      <c r="G702" s="70">
        <v>1E-3</v>
      </c>
      <c r="I702" s="101">
        <v>1.60943257184966</v>
      </c>
    </row>
    <row r="703" spans="1:12" x14ac:dyDescent="0.2">
      <c r="A703" s="65">
        <v>85</v>
      </c>
      <c r="B703" s="66" t="s">
        <v>298</v>
      </c>
      <c r="C703" s="2" t="s">
        <v>7</v>
      </c>
      <c r="D703" s="1" t="s">
        <v>9</v>
      </c>
      <c r="E703" s="2" t="s">
        <v>7</v>
      </c>
      <c r="F703" s="1" t="s">
        <v>8</v>
      </c>
      <c r="G703" s="70">
        <v>0.01</v>
      </c>
      <c r="I703" s="101">
        <v>1.47089167280766</v>
      </c>
    </row>
    <row r="704" spans="1:12" x14ac:dyDescent="0.2">
      <c r="A704" s="65">
        <v>85</v>
      </c>
      <c r="B704" s="66" t="s">
        <v>298</v>
      </c>
      <c r="C704" s="2" t="s">
        <v>7</v>
      </c>
      <c r="D704" s="1" t="s">
        <v>9</v>
      </c>
      <c r="E704" s="2" t="s">
        <v>7</v>
      </c>
      <c r="F704" s="1" t="s">
        <v>8</v>
      </c>
      <c r="G704" s="70">
        <v>0.1</v>
      </c>
      <c r="I704" s="101">
        <v>1.22328666175386</v>
      </c>
    </row>
    <row r="705" spans="1:9" x14ac:dyDescent="0.2">
      <c r="A705" s="65">
        <v>86</v>
      </c>
      <c r="B705" s="66" t="s">
        <v>300</v>
      </c>
      <c r="C705" s="2" t="s">
        <v>7</v>
      </c>
      <c r="D705" s="1" t="s">
        <v>8</v>
      </c>
      <c r="E705" s="2" t="s">
        <v>7</v>
      </c>
      <c r="F705" s="1" t="s">
        <v>67</v>
      </c>
      <c r="G705" s="70">
        <v>0</v>
      </c>
      <c r="I705" s="101">
        <v>1.0009578544061299</v>
      </c>
    </row>
    <row r="706" spans="1:9" x14ac:dyDescent="0.2">
      <c r="A706" s="65">
        <v>86</v>
      </c>
      <c r="B706" s="66" t="s">
        <v>300</v>
      </c>
      <c r="C706" s="2" t="s">
        <v>7</v>
      </c>
      <c r="D706" s="1" t="s">
        <v>8</v>
      </c>
      <c r="E706" s="2" t="s">
        <v>7</v>
      </c>
      <c r="F706" s="1" t="s">
        <v>67</v>
      </c>
      <c r="G706" s="70">
        <v>1.0000000000000001E-5</v>
      </c>
      <c r="I706" s="101">
        <v>0.99137931034482796</v>
      </c>
    </row>
    <row r="707" spans="1:9" x14ac:dyDescent="0.2">
      <c r="A707" s="65">
        <v>86</v>
      </c>
      <c r="B707" s="66" t="s">
        <v>300</v>
      </c>
      <c r="C707" s="2" t="s">
        <v>7</v>
      </c>
      <c r="D707" s="1" t="s">
        <v>8</v>
      </c>
      <c r="E707" s="2" t="s">
        <v>7</v>
      </c>
      <c r="F707" s="1" t="s">
        <v>67</v>
      </c>
      <c r="G707" s="70">
        <v>1E-4</v>
      </c>
      <c r="I707" s="101">
        <v>2.1503831417624499</v>
      </c>
    </row>
    <row r="708" spans="1:9" x14ac:dyDescent="0.2">
      <c r="A708" s="65">
        <v>86</v>
      </c>
      <c r="B708" s="66" t="s">
        <v>300</v>
      </c>
      <c r="C708" s="2" t="s">
        <v>7</v>
      </c>
      <c r="D708" s="1" t="s">
        <v>8</v>
      </c>
      <c r="E708" s="2" t="s">
        <v>7</v>
      </c>
      <c r="F708" s="1" t="s">
        <v>67</v>
      </c>
      <c r="G708" s="70">
        <v>1E-3</v>
      </c>
      <c r="I708" s="101">
        <v>4.1235632183908004</v>
      </c>
    </row>
    <row r="709" spans="1:9" x14ac:dyDescent="0.2">
      <c r="A709" s="65">
        <v>86</v>
      </c>
      <c r="B709" s="66" t="s">
        <v>300</v>
      </c>
      <c r="C709" s="2" t="s">
        <v>7</v>
      </c>
      <c r="D709" s="1" t="s">
        <v>8</v>
      </c>
      <c r="E709" s="2" t="s">
        <v>7</v>
      </c>
      <c r="F709" s="1" t="s">
        <v>67</v>
      </c>
      <c r="G709" s="70">
        <v>0.01</v>
      </c>
      <c r="I709" s="101">
        <v>2.8735632183908</v>
      </c>
    </row>
    <row r="710" spans="1:9" x14ac:dyDescent="0.2">
      <c r="A710" s="65">
        <v>86</v>
      </c>
      <c r="B710" s="66" t="s">
        <v>300</v>
      </c>
      <c r="C710" s="2" t="s">
        <v>7</v>
      </c>
      <c r="D710" s="1" t="s">
        <v>8</v>
      </c>
      <c r="E710" s="2" t="s">
        <v>7</v>
      </c>
      <c r="F710" s="1" t="s">
        <v>67</v>
      </c>
      <c r="G710" s="70">
        <v>0.1</v>
      </c>
      <c r="I710" s="101">
        <v>2.5622605363984601</v>
      </c>
    </row>
    <row r="711" spans="1:9" x14ac:dyDescent="0.2">
      <c r="A711" s="65">
        <v>86</v>
      </c>
      <c r="B711" s="66" t="s">
        <v>300</v>
      </c>
      <c r="C711" s="2" t="s">
        <v>7</v>
      </c>
      <c r="D711" s="1" t="s">
        <v>8</v>
      </c>
      <c r="E711" s="2" t="s">
        <v>7</v>
      </c>
      <c r="F711" s="1" t="s">
        <v>67</v>
      </c>
      <c r="G711" s="70">
        <v>1</v>
      </c>
      <c r="I711" s="101">
        <v>1.3409961685823699</v>
      </c>
    </row>
    <row r="712" spans="1:9" x14ac:dyDescent="0.2">
      <c r="A712" s="65">
        <v>93</v>
      </c>
      <c r="B712" s="66" t="s">
        <v>402</v>
      </c>
      <c r="C712" s="2" t="s">
        <v>7</v>
      </c>
      <c r="E712" s="2" t="s">
        <v>7</v>
      </c>
      <c r="G712" s="70">
        <v>0</v>
      </c>
      <c r="H712" s="3">
        <v>1.9568700787401601E-3</v>
      </c>
      <c r="I712" s="101">
        <f>H712/$H$712</f>
        <v>1</v>
      </c>
    </row>
    <row r="713" spans="1:9" x14ac:dyDescent="0.2">
      <c r="A713" s="65">
        <v>93</v>
      </c>
      <c r="B713" s="66" t="s">
        <v>402</v>
      </c>
      <c r="C713" s="2" t="s">
        <v>7</v>
      </c>
      <c r="E713" s="2" t="s">
        <v>7</v>
      </c>
      <c r="G713" s="70">
        <v>0.01</v>
      </c>
      <c r="H713" s="3">
        <v>2.0355314960629899E-3</v>
      </c>
      <c r="I713" s="101">
        <f t="shared" ref="I713:I717" si="13">H713/$H$712</f>
        <v>1.0401975676246593</v>
      </c>
    </row>
    <row r="714" spans="1:9" x14ac:dyDescent="0.2">
      <c r="A714" s="65">
        <v>93</v>
      </c>
      <c r="B714" s="66" t="s">
        <v>402</v>
      </c>
      <c r="C714" s="2" t="s">
        <v>7</v>
      </c>
      <c r="E714" s="2" t="s">
        <v>7</v>
      </c>
      <c r="G714" s="70">
        <v>0.1</v>
      </c>
      <c r="H714" s="3">
        <v>2.07486220472441E-3</v>
      </c>
      <c r="I714" s="101">
        <f t="shared" si="13"/>
        <v>1.0602963514369914</v>
      </c>
    </row>
    <row r="715" spans="1:9" x14ac:dyDescent="0.2">
      <c r="A715" s="65">
        <v>93</v>
      </c>
      <c r="B715" s="66" t="s">
        <v>402</v>
      </c>
      <c r="C715" s="2" t="s">
        <v>7</v>
      </c>
      <c r="E715" s="2" t="s">
        <v>7</v>
      </c>
      <c r="G715" s="70">
        <v>1</v>
      </c>
      <c r="H715" s="3">
        <v>2.5075000000000002E-3</v>
      </c>
      <c r="I715" s="101">
        <f t="shared" si="13"/>
        <v>1.2813829733726307</v>
      </c>
    </row>
    <row r="716" spans="1:9" x14ac:dyDescent="0.2">
      <c r="A716" s="65">
        <v>93</v>
      </c>
      <c r="B716" s="66" t="s">
        <v>402</v>
      </c>
      <c r="C716" s="2" t="s">
        <v>7</v>
      </c>
      <c r="E716" s="2" t="s">
        <v>7</v>
      </c>
      <c r="G716" s="70">
        <v>10</v>
      </c>
      <c r="H716" s="3">
        <v>6.7355511811023599E-3</v>
      </c>
      <c r="I716" s="101">
        <f t="shared" si="13"/>
        <v>3.4420022331981954</v>
      </c>
    </row>
    <row r="717" spans="1:9" x14ac:dyDescent="0.2">
      <c r="A717" s="65">
        <v>93</v>
      </c>
      <c r="B717" s="66" t="s">
        <v>402</v>
      </c>
      <c r="C717" s="2" t="s">
        <v>7</v>
      </c>
      <c r="E717" s="2" t="s">
        <v>7</v>
      </c>
      <c r="G717" s="70">
        <v>100</v>
      </c>
      <c r="H717" s="3">
        <v>3.3924409448818898E-3</v>
      </c>
      <c r="I717" s="101">
        <f t="shared" si="13"/>
        <v>1.7336056091500747</v>
      </c>
    </row>
    <row r="718" spans="1:9" x14ac:dyDescent="0.2">
      <c r="A718" s="65">
        <v>93</v>
      </c>
      <c r="B718" s="66" t="s">
        <v>402</v>
      </c>
      <c r="C718" s="2" t="s">
        <v>7</v>
      </c>
      <c r="E718" s="2" t="s">
        <v>349</v>
      </c>
      <c r="G718" s="70">
        <v>0</v>
      </c>
      <c r="H718" s="3">
        <v>6.3877551020404E-5</v>
      </c>
      <c r="I718" s="101">
        <f>H718/$H$718</f>
        <v>1</v>
      </c>
    </row>
    <row r="719" spans="1:9" x14ac:dyDescent="0.2">
      <c r="A719" s="65">
        <v>93</v>
      </c>
      <c r="B719" s="66" t="s">
        <v>402</v>
      </c>
      <c r="C719" s="2" t="s">
        <v>7</v>
      </c>
      <c r="E719" s="2" t="s">
        <v>349</v>
      </c>
      <c r="G719" s="70">
        <v>0.01</v>
      </c>
      <c r="H719" s="3">
        <v>1.8959183673468999E-4</v>
      </c>
      <c r="I719" s="101">
        <f t="shared" ref="I719:I721" si="14">H719/$H$718</f>
        <v>2.9680511182109952</v>
      </c>
    </row>
    <row r="720" spans="1:9" x14ac:dyDescent="0.2">
      <c r="A720" s="65">
        <v>93</v>
      </c>
      <c r="B720" s="66" t="s">
        <v>402</v>
      </c>
      <c r="C720" s="2" t="s">
        <v>7</v>
      </c>
      <c r="E720" s="2" t="s">
        <v>349</v>
      </c>
      <c r="G720" s="70">
        <v>0.1</v>
      </c>
      <c r="H720" s="3">
        <v>2.52448979591833E-4</v>
      </c>
      <c r="I720" s="101">
        <f t="shared" si="14"/>
        <v>3.952076677316493</v>
      </c>
    </row>
    <row r="721" spans="1:10" x14ac:dyDescent="0.2">
      <c r="A721" s="65">
        <v>93</v>
      </c>
      <c r="B721" s="66" t="s">
        <v>402</v>
      </c>
      <c r="C721" s="2" t="s">
        <v>7</v>
      </c>
      <c r="E721" s="2" t="s">
        <v>349</v>
      </c>
      <c r="G721" s="70">
        <v>1</v>
      </c>
      <c r="H721" s="3">
        <v>3.0857142857142498E-4</v>
      </c>
      <c r="I721" s="101">
        <f t="shared" si="14"/>
        <v>4.8306709265178309</v>
      </c>
    </row>
    <row r="722" spans="1:10" x14ac:dyDescent="0.2">
      <c r="A722" s="65">
        <v>93</v>
      </c>
      <c r="B722" s="66" t="s">
        <v>402</v>
      </c>
      <c r="C722" s="2" t="s">
        <v>7</v>
      </c>
      <c r="E722" s="2" t="s">
        <v>349</v>
      </c>
      <c r="G722" s="70">
        <v>10</v>
      </c>
      <c r="H722" s="3">
        <v>5.1959183673469099E-4</v>
      </c>
      <c r="I722" s="101">
        <f>H722/$H$718</f>
        <v>8.1341853035148617</v>
      </c>
    </row>
    <row r="723" spans="1:10" x14ac:dyDescent="0.2">
      <c r="A723" s="65">
        <v>93</v>
      </c>
      <c r="B723" s="66" t="s">
        <v>402</v>
      </c>
      <c r="C723" s="2" t="s">
        <v>7</v>
      </c>
      <c r="E723" s="2" t="s">
        <v>349</v>
      </c>
      <c r="G723" s="70">
        <v>100</v>
      </c>
      <c r="H723" s="3">
        <v>4.2530612244897698E-4</v>
      </c>
      <c r="I723" s="101">
        <f>H723/$H$718</f>
        <v>6.6581469648566234</v>
      </c>
    </row>
    <row r="724" spans="1:10" x14ac:dyDescent="0.2">
      <c r="A724" s="65">
        <v>97</v>
      </c>
      <c r="B724" s="66" t="s">
        <v>399</v>
      </c>
      <c r="C724" s="2" t="s">
        <v>58</v>
      </c>
      <c r="D724" s="1" t="s">
        <v>46</v>
      </c>
      <c r="E724" s="2" t="s">
        <v>7</v>
      </c>
      <c r="F724" s="1" t="s">
        <v>8</v>
      </c>
      <c r="G724" s="70">
        <v>0</v>
      </c>
      <c r="I724" s="101">
        <v>1</v>
      </c>
      <c r="J724" s="1"/>
    </row>
    <row r="725" spans="1:10" x14ac:dyDescent="0.2">
      <c r="A725" s="65">
        <v>97</v>
      </c>
      <c r="B725" s="66" t="s">
        <v>399</v>
      </c>
      <c r="C725" s="2" t="s">
        <v>58</v>
      </c>
      <c r="D725" s="1" t="s">
        <v>46</v>
      </c>
      <c r="E725" s="2" t="s">
        <v>7</v>
      </c>
      <c r="F725" s="1" t="s">
        <v>8</v>
      </c>
      <c r="G725" s="70">
        <v>1.83</v>
      </c>
      <c r="I725" s="101">
        <v>2.4432989690721598</v>
      </c>
      <c r="J725" s="1"/>
    </row>
    <row r="726" spans="1:10" x14ac:dyDescent="0.2">
      <c r="A726" s="65">
        <v>97</v>
      </c>
      <c r="B726" s="66" t="s">
        <v>399</v>
      </c>
      <c r="C726" s="2" t="s">
        <v>58</v>
      </c>
      <c r="D726" s="1" t="s">
        <v>46</v>
      </c>
      <c r="E726" s="2" t="s">
        <v>7</v>
      </c>
      <c r="F726" s="1" t="s">
        <v>8</v>
      </c>
      <c r="G726" s="70">
        <v>3.66</v>
      </c>
      <c r="I726" s="101">
        <v>3.3298969072164901</v>
      </c>
      <c r="J726" s="1"/>
    </row>
    <row r="727" spans="1:10" x14ac:dyDescent="0.2">
      <c r="A727" s="65">
        <v>97</v>
      </c>
      <c r="B727" s="66" t="s">
        <v>399</v>
      </c>
      <c r="C727" s="2" t="s">
        <v>58</v>
      </c>
      <c r="D727" s="1" t="s">
        <v>46</v>
      </c>
      <c r="E727" s="2" t="s">
        <v>7</v>
      </c>
      <c r="F727" s="1" t="s">
        <v>8</v>
      </c>
      <c r="G727" s="70">
        <v>14.64</v>
      </c>
      <c r="I727" s="101">
        <v>4.8453608247422597</v>
      </c>
      <c r="J727" s="1"/>
    </row>
    <row r="728" spans="1:10" x14ac:dyDescent="0.2">
      <c r="A728" s="65">
        <v>97</v>
      </c>
      <c r="B728" s="66" t="s">
        <v>399</v>
      </c>
      <c r="C728" s="2" t="s">
        <v>58</v>
      </c>
      <c r="D728" s="1" t="s">
        <v>46</v>
      </c>
      <c r="E728" s="2" t="s">
        <v>7</v>
      </c>
      <c r="F728" s="1" t="s">
        <v>8</v>
      </c>
      <c r="G728" s="70">
        <v>54.9</v>
      </c>
      <c r="I728" s="101">
        <v>9.0309278350515392</v>
      </c>
      <c r="J728" s="1"/>
    </row>
    <row r="729" spans="1:10" x14ac:dyDescent="0.2">
      <c r="A729" s="65">
        <v>97</v>
      </c>
      <c r="B729" s="66" t="s">
        <v>399</v>
      </c>
      <c r="C729" s="2" t="s">
        <v>58</v>
      </c>
      <c r="D729" s="1" t="s">
        <v>46</v>
      </c>
      <c r="E729" s="2" t="s">
        <v>377</v>
      </c>
      <c r="G729" s="70">
        <v>0</v>
      </c>
      <c r="I729" s="101">
        <v>1</v>
      </c>
    </row>
    <row r="730" spans="1:10" x14ac:dyDescent="0.2">
      <c r="A730" s="65">
        <v>97</v>
      </c>
      <c r="B730" s="66" t="s">
        <v>399</v>
      </c>
      <c r="C730" s="2" t="s">
        <v>58</v>
      </c>
      <c r="D730" s="1" t="s">
        <v>46</v>
      </c>
      <c r="E730" s="2" t="s">
        <v>377</v>
      </c>
      <c r="G730" s="70">
        <v>1.83</v>
      </c>
      <c r="I730" s="101">
        <v>1.28865979381443</v>
      </c>
    </row>
    <row r="731" spans="1:10" x14ac:dyDescent="0.2">
      <c r="A731" s="65">
        <v>97</v>
      </c>
      <c r="B731" s="66" t="s">
        <v>399</v>
      </c>
      <c r="C731" s="2" t="s">
        <v>58</v>
      </c>
      <c r="D731" s="1" t="s">
        <v>46</v>
      </c>
      <c r="E731" s="2" t="s">
        <v>377</v>
      </c>
      <c r="G731" s="70">
        <v>3.66</v>
      </c>
      <c r="I731" s="101">
        <v>1.5463917525773201</v>
      </c>
    </row>
    <row r="732" spans="1:10" x14ac:dyDescent="0.2">
      <c r="A732" s="65">
        <v>97</v>
      </c>
      <c r="B732" s="66" t="s">
        <v>399</v>
      </c>
      <c r="C732" s="2" t="s">
        <v>58</v>
      </c>
      <c r="D732" s="1" t="s">
        <v>46</v>
      </c>
      <c r="E732" s="2" t="s">
        <v>377</v>
      </c>
      <c r="G732" s="70">
        <v>14.64</v>
      </c>
      <c r="I732" s="101">
        <v>2.9896907216494801</v>
      </c>
    </row>
    <row r="733" spans="1:10" x14ac:dyDescent="0.2">
      <c r="A733" s="65">
        <v>97</v>
      </c>
      <c r="B733" s="66" t="s">
        <v>399</v>
      </c>
      <c r="C733" s="2" t="s">
        <v>58</v>
      </c>
      <c r="D733" s="1" t="s">
        <v>46</v>
      </c>
      <c r="E733" s="2" t="s">
        <v>377</v>
      </c>
      <c r="G733" s="70">
        <v>54.9</v>
      </c>
      <c r="I733" s="101">
        <v>3.8453608247422602</v>
      </c>
    </row>
    <row r="734" spans="1:10" x14ac:dyDescent="0.2">
      <c r="A734" s="65">
        <v>99</v>
      </c>
      <c r="B734" s="66" t="s">
        <v>398</v>
      </c>
      <c r="C734" s="2" t="s">
        <v>7</v>
      </c>
      <c r="D734" s="1" t="s">
        <v>8</v>
      </c>
      <c r="E734" s="2" t="s">
        <v>350</v>
      </c>
      <c r="F734" s="1" t="s">
        <v>351</v>
      </c>
      <c r="G734" s="70">
        <v>0</v>
      </c>
      <c r="H734" s="3">
        <v>2.2788888888888801E-5</v>
      </c>
      <c r="I734" s="101">
        <v>0.99883177570093395</v>
      </c>
    </row>
    <row r="735" spans="1:10" x14ac:dyDescent="0.2">
      <c r="A735" s="65">
        <v>99</v>
      </c>
      <c r="B735" s="66" t="s">
        <v>398</v>
      </c>
      <c r="C735" s="2" t="s">
        <v>7</v>
      </c>
      <c r="D735" s="1" t="s">
        <v>8</v>
      </c>
      <c r="E735" s="2" t="s">
        <v>350</v>
      </c>
      <c r="F735" s="1" t="s">
        <v>351</v>
      </c>
      <c r="G735" s="70">
        <v>10</v>
      </c>
      <c r="H735" s="3">
        <v>2.8233333333333299E-5</v>
      </c>
      <c r="I735" s="101">
        <v>1.24415887850467</v>
      </c>
    </row>
    <row r="736" spans="1:10" x14ac:dyDescent="0.2">
      <c r="A736" s="65">
        <v>99</v>
      </c>
      <c r="B736" s="66" t="s">
        <v>398</v>
      </c>
      <c r="C736" s="2" t="s">
        <v>7</v>
      </c>
      <c r="D736" s="1" t="s">
        <v>8</v>
      </c>
      <c r="E736" s="2" t="s">
        <v>350</v>
      </c>
      <c r="F736" s="1" t="s">
        <v>351</v>
      </c>
      <c r="G736" s="70">
        <v>100</v>
      </c>
      <c r="H736" s="3">
        <v>2.1388888888888801E-5</v>
      </c>
      <c r="I736" s="101">
        <v>0.93574766355140104</v>
      </c>
    </row>
    <row r="737" spans="1:9" x14ac:dyDescent="0.2">
      <c r="A737" s="65">
        <v>99</v>
      </c>
      <c r="B737" s="66" t="s">
        <v>398</v>
      </c>
      <c r="C737" s="2" t="s">
        <v>7</v>
      </c>
      <c r="D737" s="1" t="s">
        <v>8</v>
      </c>
      <c r="E737" s="2" t="s">
        <v>350</v>
      </c>
      <c r="F737" s="1" t="s">
        <v>351</v>
      </c>
      <c r="G737" s="70">
        <v>200</v>
      </c>
      <c r="H737" s="3">
        <v>3.04111111111111E-5</v>
      </c>
      <c r="I737" s="101">
        <v>1.3422897196261601</v>
      </c>
    </row>
    <row r="738" spans="1:9" x14ac:dyDescent="0.2">
      <c r="A738" s="65">
        <v>99</v>
      </c>
      <c r="B738" s="66" t="s">
        <v>398</v>
      </c>
      <c r="C738" s="2" t="s">
        <v>7</v>
      </c>
      <c r="D738" s="1" t="s">
        <v>8</v>
      </c>
      <c r="E738" s="2" t="s">
        <v>350</v>
      </c>
      <c r="F738" s="1" t="s">
        <v>351</v>
      </c>
      <c r="G738" s="70">
        <v>500</v>
      </c>
      <c r="H738" s="3">
        <v>9.4111111111111093E-6</v>
      </c>
      <c r="I738" s="101">
        <v>0.41355140186915801</v>
      </c>
    </row>
    <row r="739" spans="1:9" x14ac:dyDescent="0.2">
      <c r="A739" s="65">
        <v>101</v>
      </c>
      <c r="B739" s="66" t="s">
        <v>352</v>
      </c>
      <c r="C739" s="2" t="s">
        <v>7</v>
      </c>
      <c r="D739" s="1" t="s">
        <v>20</v>
      </c>
      <c r="E739" s="2" t="s">
        <v>378</v>
      </c>
      <c r="F739" s="1" t="s">
        <v>354</v>
      </c>
      <c r="G739" s="70">
        <v>0</v>
      </c>
      <c r="I739" s="101">
        <v>1.00732600732601</v>
      </c>
    </row>
    <row r="740" spans="1:9" x14ac:dyDescent="0.2">
      <c r="A740" s="65">
        <v>101</v>
      </c>
      <c r="B740" s="66" t="s">
        <v>352</v>
      </c>
      <c r="C740" s="2" t="s">
        <v>7</v>
      </c>
      <c r="D740" s="1" t="s">
        <v>353</v>
      </c>
      <c r="E740" s="2" t="s">
        <v>378</v>
      </c>
      <c r="F740" s="1" t="s">
        <v>354</v>
      </c>
      <c r="G740" s="70">
        <v>25</v>
      </c>
      <c r="I740" s="101">
        <v>3.35775335775336</v>
      </c>
    </row>
    <row r="741" spans="1:9" x14ac:dyDescent="0.2">
      <c r="A741" s="65">
        <v>101</v>
      </c>
      <c r="B741" s="66" t="s">
        <v>352</v>
      </c>
      <c r="C741" s="2" t="s">
        <v>7</v>
      </c>
      <c r="D741" s="1" t="s">
        <v>353</v>
      </c>
      <c r="E741" s="2" t="s">
        <v>378</v>
      </c>
      <c r="F741" s="1" t="s">
        <v>354</v>
      </c>
      <c r="G741" s="70">
        <v>50</v>
      </c>
      <c r="I741" s="101">
        <v>6.4713064713064599</v>
      </c>
    </row>
    <row r="742" spans="1:9" x14ac:dyDescent="0.2">
      <c r="A742" s="65">
        <v>101</v>
      </c>
      <c r="B742" s="66" t="s">
        <v>352</v>
      </c>
      <c r="C742" s="2" t="s">
        <v>7</v>
      </c>
      <c r="D742" s="1" t="s">
        <v>353</v>
      </c>
      <c r="E742" s="2" t="s">
        <v>378</v>
      </c>
      <c r="F742" s="1" t="s">
        <v>354</v>
      </c>
      <c r="G742" s="70">
        <v>75</v>
      </c>
      <c r="I742" s="101">
        <v>7.50915750915751</v>
      </c>
    </row>
    <row r="743" spans="1:9" x14ac:dyDescent="0.2">
      <c r="A743" s="65">
        <v>101</v>
      </c>
      <c r="B743" s="66" t="s">
        <v>352</v>
      </c>
      <c r="C743" s="2" t="s">
        <v>7</v>
      </c>
      <c r="D743" s="1" t="s">
        <v>353</v>
      </c>
      <c r="E743" s="2" t="s">
        <v>378</v>
      </c>
      <c r="F743" s="1" t="s">
        <v>354</v>
      </c>
      <c r="G743" s="70">
        <v>100</v>
      </c>
      <c r="I743" s="101">
        <v>10.592185592185499</v>
      </c>
    </row>
    <row r="744" spans="1:9" x14ac:dyDescent="0.2">
      <c r="A744" s="65">
        <v>101</v>
      </c>
      <c r="B744" s="66" t="s">
        <v>352</v>
      </c>
      <c r="C744" s="2" t="s">
        <v>7</v>
      </c>
      <c r="D744" s="1" t="s">
        <v>353</v>
      </c>
      <c r="E744" s="2" t="s">
        <v>378</v>
      </c>
      <c r="F744" s="1" t="s">
        <v>354</v>
      </c>
      <c r="G744" s="70">
        <v>200</v>
      </c>
      <c r="I744" s="101">
        <v>17.032967032967001</v>
      </c>
    </row>
    <row r="745" spans="1:9" x14ac:dyDescent="0.2">
      <c r="A745" s="65">
        <v>101</v>
      </c>
      <c r="B745" s="66" t="s">
        <v>352</v>
      </c>
      <c r="C745" s="2" t="s">
        <v>7</v>
      </c>
      <c r="D745" s="1" t="s">
        <v>353</v>
      </c>
      <c r="E745" s="2" t="s">
        <v>378</v>
      </c>
      <c r="F745" s="1" t="s">
        <v>354</v>
      </c>
      <c r="G745" s="70">
        <v>400</v>
      </c>
      <c r="I745" s="101">
        <v>20.360195360195299</v>
      </c>
    </row>
    <row r="746" spans="1:9" x14ac:dyDescent="0.2">
      <c r="A746" s="65">
        <v>102</v>
      </c>
      <c r="B746" s="66" t="s">
        <v>238</v>
      </c>
      <c r="C746" s="2" t="s">
        <v>7</v>
      </c>
      <c r="D746" s="1" t="s">
        <v>20</v>
      </c>
      <c r="E746" s="2" t="s">
        <v>7</v>
      </c>
      <c r="F746" s="1" t="s">
        <v>8</v>
      </c>
      <c r="G746" s="70">
        <v>0</v>
      </c>
      <c r="I746" s="101">
        <v>0.98843930635838095</v>
      </c>
    </row>
    <row r="747" spans="1:9" x14ac:dyDescent="0.2">
      <c r="A747" s="65">
        <v>102</v>
      </c>
      <c r="B747" s="66" t="s">
        <v>238</v>
      </c>
      <c r="C747" s="2" t="s">
        <v>7</v>
      </c>
      <c r="D747" s="1" t="s">
        <v>20</v>
      </c>
      <c r="E747" s="2" t="s">
        <v>7</v>
      </c>
      <c r="F747" s="1" t="s">
        <v>8</v>
      </c>
      <c r="G747" s="70">
        <v>1E-3</v>
      </c>
      <c r="I747" s="101">
        <v>1.3699421965317899</v>
      </c>
    </row>
    <row r="748" spans="1:9" x14ac:dyDescent="0.2">
      <c r="A748" s="65">
        <v>102</v>
      </c>
      <c r="B748" s="66" t="s">
        <v>238</v>
      </c>
      <c r="C748" s="2" t="s">
        <v>7</v>
      </c>
      <c r="D748" s="1" t="s">
        <v>20</v>
      </c>
      <c r="E748" s="2" t="s">
        <v>7</v>
      </c>
      <c r="F748" s="1" t="s">
        <v>8</v>
      </c>
      <c r="G748" s="70">
        <v>5.0000000000000001E-3</v>
      </c>
      <c r="I748" s="101">
        <v>2.2138728323699399</v>
      </c>
    </row>
    <row r="749" spans="1:9" x14ac:dyDescent="0.2">
      <c r="A749" s="65">
        <v>102</v>
      </c>
      <c r="B749" s="66" t="s">
        <v>238</v>
      </c>
      <c r="C749" s="2" t="s">
        <v>7</v>
      </c>
      <c r="D749" s="1" t="s">
        <v>20</v>
      </c>
      <c r="E749" s="2" t="s">
        <v>7</v>
      </c>
      <c r="F749" s="1" t="s">
        <v>8</v>
      </c>
      <c r="G749" s="70">
        <v>0.01</v>
      </c>
      <c r="I749" s="101">
        <v>1.2196531791907499</v>
      </c>
    </row>
    <row r="750" spans="1:9" x14ac:dyDescent="0.2">
      <c r="A750" s="65">
        <v>102</v>
      </c>
      <c r="B750" s="66" t="s">
        <v>238</v>
      </c>
      <c r="C750" s="2" t="s">
        <v>7</v>
      </c>
      <c r="D750" s="1" t="s">
        <v>20</v>
      </c>
      <c r="E750" s="2" t="s">
        <v>7</v>
      </c>
      <c r="F750" s="1" t="s">
        <v>8</v>
      </c>
      <c r="G750" s="70">
        <v>0.05</v>
      </c>
      <c r="I750" s="101">
        <v>1.7514450867052</v>
      </c>
    </row>
    <row r="751" spans="1:9" x14ac:dyDescent="0.2">
      <c r="A751" s="65">
        <v>102</v>
      </c>
      <c r="B751" s="66" t="s">
        <v>238</v>
      </c>
      <c r="C751" s="2" t="s">
        <v>7</v>
      </c>
      <c r="D751" s="1" t="s">
        <v>20</v>
      </c>
      <c r="E751" s="2" t="s">
        <v>7</v>
      </c>
      <c r="F751" s="1" t="s">
        <v>8</v>
      </c>
      <c r="G751" s="70">
        <v>0.1</v>
      </c>
      <c r="I751" s="101">
        <v>1.5895953757225401</v>
      </c>
    </row>
    <row r="752" spans="1:9" x14ac:dyDescent="0.2">
      <c r="A752" s="65">
        <v>102</v>
      </c>
      <c r="B752" s="66" t="s">
        <v>375</v>
      </c>
      <c r="C752" s="2" t="s">
        <v>7</v>
      </c>
      <c r="D752" s="1" t="s">
        <v>20</v>
      </c>
      <c r="E752" s="2" t="s">
        <v>7</v>
      </c>
      <c r="F752" s="1" t="s">
        <v>8</v>
      </c>
      <c r="G752" s="70">
        <v>0</v>
      </c>
      <c r="I752" s="101">
        <v>0.98843930635838095</v>
      </c>
    </row>
    <row r="753" spans="1:12" x14ac:dyDescent="0.2">
      <c r="A753" s="65">
        <v>102</v>
      </c>
      <c r="B753" s="66" t="s">
        <v>375</v>
      </c>
      <c r="C753" s="2" t="s">
        <v>7</v>
      </c>
      <c r="D753" s="1" t="s">
        <v>20</v>
      </c>
      <c r="E753" s="2" t="s">
        <v>7</v>
      </c>
      <c r="F753" s="1" t="s">
        <v>8</v>
      </c>
      <c r="G753" s="70">
        <v>1E-3</v>
      </c>
      <c r="I753" s="101">
        <v>2.0924855491329399</v>
      </c>
    </row>
    <row r="754" spans="1:12" x14ac:dyDescent="0.2">
      <c r="A754" s="65">
        <v>102</v>
      </c>
      <c r="B754" s="66" t="s">
        <v>375</v>
      </c>
      <c r="C754" s="2" t="s">
        <v>7</v>
      </c>
      <c r="D754" s="1" t="s">
        <v>20</v>
      </c>
      <c r="E754" s="2" t="s">
        <v>7</v>
      </c>
      <c r="F754" s="1" t="s">
        <v>8</v>
      </c>
      <c r="G754" s="70">
        <v>5.0000000000000001E-3</v>
      </c>
      <c r="I754" s="101">
        <v>3.3872832369942101</v>
      </c>
    </row>
    <row r="755" spans="1:12" x14ac:dyDescent="0.2">
      <c r="A755" s="65">
        <v>102</v>
      </c>
      <c r="B755" s="66" t="s">
        <v>375</v>
      </c>
      <c r="C755" s="2" t="s">
        <v>7</v>
      </c>
      <c r="D755" s="1" t="s">
        <v>20</v>
      </c>
      <c r="E755" s="2" t="s">
        <v>7</v>
      </c>
      <c r="F755" s="1" t="s">
        <v>8</v>
      </c>
      <c r="G755" s="70">
        <v>0.01</v>
      </c>
      <c r="I755" s="101">
        <v>2.8901734104046199</v>
      </c>
    </row>
    <row r="756" spans="1:12" x14ac:dyDescent="0.2">
      <c r="A756" s="65">
        <v>102</v>
      </c>
      <c r="B756" s="66" t="s">
        <v>375</v>
      </c>
      <c r="C756" s="2" t="s">
        <v>7</v>
      </c>
      <c r="D756" s="1" t="s">
        <v>20</v>
      </c>
      <c r="E756" s="2" t="s">
        <v>7</v>
      </c>
      <c r="F756" s="1" t="s">
        <v>8</v>
      </c>
      <c r="G756" s="70">
        <v>0.05</v>
      </c>
      <c r="I756" s="101">
        <v>2.4104046242774499</v>
      </c>
    </row>
    <row r="757" spans="1:12" x14ac:dyDescent="0.2">
      <c r="A757" s="65">
        <v>102</v>
      </c>
      <c r="B757" s="66" t="s">
        <v>375</v>
      </c>
      <c r="C757" s="2" t="s">
        <v>7</v>
      </c>
      <c r="D757" s="1" t="s">
        <v>20</v>
      </c>
      <c r="E757" s="2" t="s">
        <v>7</v>
      </c>
      <c r="F757" s="1" t="s">
        <v>8</v>
      </c>
      <c r="G757" s="70">
        <v>0.1</v>
      </c>
      <c r="I757" s="101">
        <v>1.6127167630057799</v>
      </c>
    </row>
    <row r="758" spans="1:12" x14ac:dyDescent="0.2">
      <c r="A758" s="65">
        <v>102</v>
      </c>
      <c r="B758" s="66" t="s">
        <v>376</v>
      </c>
      <c r="C758" s="2" t="s">
        <v>7</v>
      </c>
      <c r="D758" s="1" t="s">
        <v>20</v>
      </c>
      <c r="E758" s="2" t="s">
        <v>7</v>
      </c>
      <c r="F758" s="1" t="s">
        <v>8</v>
      </c>
      <c r="G758" s="70">
        <v>0</v>
      </c>
      <c r="I758" s="101">
        <v>1.0115606936416099</v>
      </c>
    </row>
    <row r="759" spans="1:12" x14ac:dyDescent="0.2">
      <c r="A759" s="65">
        <v>102</v>
      </c>
      <c r="B759" s="66" t="s">
        <v>376</v>
      </c>
      <c r="C759" s="2" t="s">
        <v>7</v>
      </c>
      <c r="D759" s="1" t="s">
        <v>20</v>
      </c>
      <c r="E759" s="2" t="s">
        <v>7</v>
      </c>
      <c r="F759" s="1" t="s">
        <v>8</v>
      </c>
      <c r="G759" s="70">
        <v>1E-3</v>
      </c>
      <c r="I759" s="101">
        <v>2.1271676300578002</v>
      </c>
    </row>
    <row r="760" spans="1:12" x14ac:dyDescent="0.2">
      <c r="A760" s="65">
        <v>102</v>
      </c>
      <c r="B760" s="66" t="s">
        <v>376</v>
      </c>
      <c r="C760" s="2" t="s">
        <v>7</v>
      </c>
      <c r="D760" s="1" t="s">
        <v>20</v>
      </c>
      <c r="E760" s="2" t="s">
        <v>7</v>
      </c>
      <c r="F760" s="1" t="s">
        <v>8</v>
      </c>
      <c r="G760" s="70">
        <v>5.0000000000000001E-3</v>
      </c>
      <c r="I760" s="101">
        <v>3.0693641618497098</v>
      </c>
    </row>
    <row r="761" spans="1:12" x14ac:dyDescent="0.2">
      <c r="A761" s="65">
        <v>102</v>
      </c>
      <c r="B761" s="66" t="s">
        <v>376</v>
      </c>
      <c r="C761" s="2" t="s">
        <v>7</v>
      </c>
      <c r="D761" s="1" t="s">
        <v>20</v>
      </c>
      <c r="E761" s="2" t="s">
        <v>7</v>
      </c>
      <c r="F761" s="1" t="s">
        <v>8</v>
      </c>
      <c r="G761" s="70">
        <v>0.01</v>
      </c>
      <c r="I761" s="101">
        <v>3.39306358381502</v>
      </c>
    </row>
    <row r="762" spans="1:12" x14ac:dyDescent="0.2">
      <c r="A762" s="65">
        <v>102</v>
      </c>
      <c r="B762" s="66" t="s">
        <v>376</v>
      </c>
      <c r="C762" s="2" t="s">
        <v>7</v>
      </c>
      <c r="D762" s="1" t="s">
        <v>20</v>
      </c>
      <c r="E762" s="2" t="s">
        <v>7</v>
      </c>
      <c r="F762" s="1" t="s">
        <v>8</v>
      </c>
      <c r="G762" s="70">
        <v>0.05</v>
      </c>
      <c r="I762" s="101">
        <v>1.7456647398843901</v>
      </c>
    </row>
    <row r="763" spans="1:12" x14ac:dyDescent="0.2">
      <c r="A763" s="65">
        <v>102</v>
      </c>
      <c r="B763" s="66" t="s">
        <v>376</v>
      </c>
      <c r="C763" s="2" t="s">
        <v>7</v>
      </c>
      <c r="D763" s="1" t="s">
        <v>20</v>
      </c>
      <c r="E763" s="2" t="s">
        <v>7</v>
      </c>
      <c r="F763" s="1" t="s">
        <v>8</v>
      </c>
      <c r="G763" s="70">
        <v>0.1</v>
      </c>
      <c r="I763" s="101">
        <v>1.35260115606936</v>
      </c>
    </row>
    <row r="764" spans="1:12" x14ac:dyDescent="0.2">
      <c r="A764" s="65">
        <v>102</v>
      </c>
      <c r="B764" s="66" t="s">
        <v>238</v>
      </c>
      <c r="C764" s="2" t="s">
        <v>7</v>
      </c>
      <c r="D764" s="1" t="s">
        <v>20</v>
      </c>
      <c r="E764" s="2" t="s">
        <v>378</v>
      </c>
      <c r="F764" s="1" t="s">
        <v>355</v>
      </c>
      <c r="G764" s="70">
        <v>0</v>
      </c>
      <c r="H764" s="3">
        <v>5.6907216494845301E-5</v>
      </c>
      <c r="I764" s="101">
        <f>H764/$H$764</f>
        <v>1</v>
      </c>
    </row>
    <row r="765" spans="1:12" s="4" customFormat="1" x14ac:dyDescent="0.2">
      <c r="A765" s="65">
        <v>102</v>
      </c>
      <c r="B765" s="66" t="s">
        <v>238</v>
      </c>
      <c r="C765" s="2" t="s">
        <v>7</v>
      </c>
      <c r="D765" s="1" t="s">
        <v>20</v>
      </c>
      <c r="E765" s="2" t="s">
        <v>378</v>
      </c>
      <c r="F765" s="1" t="s">
        <v>355</v>
      </c>
      <c r="G765" s="70">
        <v>1E-3</v>
      </c>
      <c r="H765" s="3">
        <v>7.3608247422680398E-5</v>
      </c>
      <c r="I765" s="101">
        <f t="shared" ref="I765:I769" si="15">H765/$H$764</f>
        <v>1.2934782608695663</v>
      </c>
      <c r="K765" s="1"/>
      <c r="L765" s="1"/>
    </row>
    <row r="766" spans="1:12" s="4" customFormat="1" x14ac:dyDescent="0.2">
      <c r="A766" s="65">
        <v>102</v>
      </c>
      <c r="B766" s="66" t="s">
        <v>238</v>
      </c>
      <c r="C766" s="2" t="s">
        <v>7</v>
      </c>
      <c r="D766" s="1" t="s">
        <v>20</v>
      </c>
      <c r="E766" s="2" t="s">
        <v>378</v>
      </c>
      <c r="F766" s="1" t="s">
        <v>355</v>
      </c>
      <c r="G766" s="70">
        <v>5.0000000000000001E-3</v>
      </c>
      <c r="H766" s="3">
        <v>1.0097938144329801E-4</v>
      </c>
      <c r="I766" s="101">
        <f t="shared" si="15"/>
        <v>1.7744565217391153</v>
      </c>
      <c r="K766" s="1"/>
      <c r="L766" s="1"/>
    </row>
    <row r="767" spans="1:12" s="4" customFormat="1" x14ac:dyDescent="0.2">
      <c r="A767" s="65">
        <v>102</v>
      </c>
      <c r="B767" s="66" t="s">
        <v>238</v>
      </c>
      <c r="C767" s="2" t="s">
        <v>7</v>
      </c>
      <c r="D767" s="1" t="s">
        <v>20</v>
      </c>
      <c r="E767" s="2" t="s">
        <v>378</v>
      </c>
      <c r="F767" s="1" t="s">
        <v>355</v>
      </c>
      <c r="G767" s="70">
        <v>0.01</v>
      </c>
      <c r="H767" s="3">
        <v>1.14432989690721E-4</v>
      </c>
      <c r="I767" s="101">
        <f t="shared" si="15"/>
        <v>2.0108695652173818</v>
      </c>
      <c r="K767" s="1"/>
      <c r="L767" s="1"/>
    </row>
    <row r="768" spans="1:12" s="4" customFormat="1" x14ac:dyDescent="0.2">
      <c r="A768" s="65">
        <v>102</v>
      </c>
      <c r="B768" s="66" t="s">
        <v>238</v>
      </c>
      <c r="C768" s="2" t="s">
        <v>7</v>
      </c>
      <c r="D768" s="1" t="s">
        <v>20</v>
      </c>
      <c r="E768" s="2" t="s">
        <v>378</v>
      </c>
      <c r="F768" s="1" t="s">
        <v>355</v>
      </c>
      <c r="G768" s="70">
        <v>0.05</v>
      </c>
      <c r="H768" s="3">
        <v>1.3855670103092701E-4</v>
      </c>
      <c r="I768" s="101">
        <f t="shared" si="15"/>
        <v>2.4347826086956403</v>
      </c>
      <c r="K768" s="1"/>
      <c r="L768" s="1"/>
    </row>
    <row r="769" spans="1:12" s="4" customFormat="1" x14ac:dyDescent="0.2">
      <c r="A769" s="65">
        <v>102</v>
      </c>
      <c r="B769" s="66" t="s">
        <v>238</v>
      </c>
      <c r="C769" s="2" t="s">
        <v>7</v>
      </c>
      <c r="D769" s="1" t="s">
        <v>20</v>
      </c>
      <c r="E769" s="2" t="s">
        <v>378</v>
      </c>
      <c r="F769" s="1" t="s">
        <v>355</v>
      </c>
      <c r="G769" s="70">
        <v>0.1</v>
      </c>
      <c r="H769" s="3">
        <v>9.8659793814432907E-5</v>
      </c>
      <c r="I769" s="101">
        <f t="shared" si="15"/>
        <v>1.7336956521739133</v>
      </c>
      <c r="K769" s="1"/>
      <c r="L769" s="1"/>
    </row>
    <row r="770" spans="1:12" s="4" customFormat="1" x14ac:dyDescent="0.2">
      <c r="A770" s="65">
        <v>103</v>
      </c>
      <c r="B770" s="66" t="s">
        <v>381</v>
      </c>
      <c r="C770" s="2" t="s">
        <v>7</v>
      </c>
      <c r="D770" s="1" t="s">
        <v>8</v>
      </c>
      <c r="E770" s="2" t="s">
        <v>7</v>
      </c>
      <c r="F770" s="1" t="s">
        <v>9</v>
      </c>
      <c r="G770" s="70">
        <v>0</v>
      </c>
      <c r="H770" s="3">
        <v>2.0991253644314799E-6</v>
      </c>
      <c r="I770" s="101">
        <f>H770/$H$770</f>
        <v>1</v>
      </c>
      <c r="K770" s="1"/>
      <c r="L770" s="1"/>
    </row>
    <row r="771" spans="1:12" s="4" customFormat="1" x14ac:dyDescent="0.2">
      <c r="A771" s="65">
        <v>103</v>
      </c>
      <c r="B771" s="66" t="s">
        <v>381</v>
      </c>
      <c r="C771" s="2" t="s">
        <v>7</v>
      </c>
      <c r="D771" s="1" t="s">
        <v>8</v>
      </c>
      <c r="E771" s="2" t="s">
        <v>7</v>
      </c>
      <c r="F771" s="1" t="s">
        <v>9</v>
      </c>
      <c r="G771" s="70">
        <v>1E-3</v>
      </c>
      <c r="H771" s="3">
        <v>5.0262390670553898E-6</v>
      </c>
      <c r="I771" s="101">
        <f t="shared" ref="I771:I776" si="16">H771/$H$770</f>
        <v>2.3944444444444506</v>
      </c>
      <c r="K771" s="1"/>
      <c r="L771" s="1"/>
    </row>
    <row r="772" spans="1:12" s="4" customFormat="1" x14ac:dyDescent="0.2">
      <c r="A772" s="65">
        <v>103</v>
      </c>
      <c r="B772" s="66" t="s">
        <v>381</v>
      </c>
      <c r="C772" s="2" t="s">
        <v>7</v>
      </c>
      <c r="D772" s="1" t="s">
        <v>8</v>
      </c>
      <c r="E772" s="2" t="s">
        <v>7</v>
      </c>
      <c r="F772" s="1" t="s">
        <v>9</v>
      </c>
      <c r="G772" s="70">
        <v>0.01</v>
      </c>
      <c r="H772" s="3">
        <v>6.2274052478134099E-6</v>
      </c>
      <c r="I772" s="101">
        <f t="shared" si="16"/>
        <v>2.9666666666666761</v>
      </c>
      <c r="K772" s="1"/>
      <c r="L772" s="1"/>
    </row>
    <row r="773" spans="1:12" s="4" customFormat="1" x14ac:dyDescent="0.2">
      <c r="A773" s="65">
        <v>103</v>
      </c>
      <c r="B773" s="66" t="s">
        <v>381</v>
      </c>
      <c r="C773" s="2" t="s">
        <v>7</v>
      </c>
      <c r="D773" s="1" t="s">
        <v>8</v>
      </c>
      <c r="E773" s="2" t="s">
        <v>7</v>
      </c>
      <c r="F773" s="1" t="s">
        <v>9</v>
      </c>
      <c r="G773" s="70">
        <v>0.05</v>
      </c>
      <c r="H773" s="3">
        <v>7.5335276967930003E-6</v>
      </c>
      <c r="I773" s="101">
        <f t="shared" si="16"/>
        <v>3.5888888888888997</v>
      </c>
      <c r="K773" s="1"/>
      <c r="L773" s="1"/>
    </row>
    <row r="774" spans="1:12" s="4" customFormat="1" x14ac:dyDescent="0.2">
      <c r="A774" s="65">
        <v>103</v>
      </c>
      <c r="B774" s="66" t="s">
        <v>381</v>
      </c>
      <c r="C774" s="2" t="s">
        <v>7</v>
      </c>
      <c r="D774" s="1" t="s">
        <v>8</v>
      </c>
      <c r="E774" s="2" t="s">
        <v>7</v>
      </c>
      <c r="F774" s="1" t="s">
        <v>9</v>
      </c>
      <c r="G774" s="70">
        <v>0.1</v>
      </c>
      <c r="H774" s="3">
        <v>1.12186588921282E-5</v>
      </c>
      <c r="I774" s="101">
        <f t="shared" si="16"/>
        <v>5.3444444444444246</v>
      </c>
      <c r="K774" s="1"/>
      <c r="L774" s="1"/>
    </row>
    <row r="775" spans="1:12" s="4" customFormat="1" x14ac:dyDescent="0.2">
      <c r="A775" s="65">
        <v>103</v>
      </c>
      <c r="B775" s="66" t="s">
        <v>381</v>
      </c>
      <c r="C775" s="2" t="s">
        <v>7</v>
      </c>
      <c r="D775" s="1" t="s">
        <v>8</v>
      </c>
      <c r="E775" s="2" t="s">
        <v>7</v>
      </c>
      <c r="F775" s="1" t="s">
        <v>9</v>
      </c>
      <c r="G775" s="70">
        <v>0.5</v>
      </c>
      <c r="H775" s="3">
        <v>9.6093294460641407E-6</v>
      </c>
      <c r="I775" s="101">
        <f t="shared" si="16"/>
        <v>4.5777777777777935</v>
      </c>
      <c r="K775" s="1"/>
      <c r="L775" s="1"/>
    </row>
    <row r="776" spans="1:12" s="4" customFormat="1" x14ac:dyDescent="0.2">
      <c r="A776" s="65">
        <v>103</v>
      </c>
      <c r="B776" s="66" t="s">
        <v>381</v>
      </c>
      <c r="C776" s="2" t="s">
        <v>7</v>
      </c>
      <c r="D776" s="1" t="s">
        <v>8</v>
      </c>
      <c r="E776" s="2" t="s">
        <v>7</v>
      </c>
      <c r="F776" s="1" t="s">
        <v>9</v>
      </c>
      <c r="G776" s="70">
        <v>1</v>
      </c>
      <c r="H776" s="3">
        <v>1.76093294460641E-6</v>
      </c>
      <c r="I776" s="101">
        <f t="shared" si="16"/>
        <v>0.83888888888888979</v>
      </c>
      <c r="K776" s="1"/>
      <c r="L776" s="1"/>
    </row>
    <row r="777" spans="1:12" s="99" customFormat="1" x14ac:dyDescent="0.2">
      <c r="A777" s="93">
        <v>104</v>
      </c>
      <c r="B777" s="94" t="s">
        <v>382</v>
      </c>
      <c r="C777" s="95" t="s">
        <v>7</v>
      </c>
      <c r="D777" s="96" t="s">
        <v>9</v>
      </c>
      <c r="E777" s="95" t="s">
        <v>7</v>
      </c>
      <c r="F777" s="96" t="s">
        <v>8</v>
      </c>
      <c r="G777" s="97">
        <v>0</v>
      </c>
      <c r="H777" s="98"/>
      <c r="I777" s="102">
        <v>0.999999999999999</v>
      </c>
      <c r="K777" s="96"/>
      <c r="L777" s="96"/>
    </row>
    <row r="778" spans="1:12" s="99" customFormat="1" x14ac:dyDescent="0.2">
      <c r="A778" s="93">
        <v>104</v>
      </c>
      <c r="B778" s="94" t="s">
        <v>382</v>
      </c>
      <c r="C778" s="95" t="s">
        <v>7</v>
      </c>
      <c r="D778" s="96" t="s">
        <v>9</v>
      </c>
      <c r="E778" s="95" t="s">
        <v>7</v>
      </c>
      <c r="F778" s="96" t="s">
        <v>8</v>
      </c>
      <c r="G778" s="97">
        <v>1E-3</v>
      </c>
      <c r="H778" s="98"/>
      <c r="I778" s="102">
        <v>1.08080808080808</v>
      </c>
      <c r="K778" s="96"/>
      <c r="L778" s="96"/>
    </row>
    <row r="779" spans="1:12" s="99" customFormat="1" x14ac:dyDescent="0.2">
      <c r="A779" s="93">
        <v>104</v>
      </c>
      <c r="B779" s="94" t="s">
        <v>382</v>
      </c>
      <c r="C779" s="95" t="s">
        <v>7</v>
      </c>
      <c r="D779" s="96" t="s">
        <v>9</v>
      </c>
      <c r="E779" s="95" t="s">
        <v>7</v>
      </c>
      <c r="F779" s="96" t="s">
        <v>8</v>
      </c>
      <c r="G779" s="97">
        <v>0.01</v>
      </c>
      <c r="H779" s="98"/>
      <c r="I779" s="102">
        <v>1.0202020202020201</v>
      </c>
      <c r="K779" s="96"/>
      <c r="L779" s="96"/>
    </row>
    <row r="780" spans="1:12" s="99" customFormat="1" x14ac:dyDescent="0.2">
      <c r="A780" s="93">
        <v>104</v>
      </c>
      <c r="B780" s="94" t="s">
        <v>382</v>
      </c>
      <c r="C780" s="95" t="s">
        <v>7</v>
      </c>
      <c r="D780" s="96" t="s">
        <v>9</v>
      </c>
      <c r="E780" s="95" t="s">
        <v>7</v>
      </c>
      <c r="F780" s="96" t="s">
        <v>8</v>
      </c>
      <c r="G780" s="97">
        <v>0.1</v>
      </c>
      <c r="H780" s="98"/>
      <c r="I780" s="102">
        <v>1.2626262626262601</v>
      </c>
      <c r="K780" s="96"/>
      <c r="L780" s="96"/>
    </row>
    <row r="781" spans="1:12" s="99" customFormat="1" x14ac:dyDescent="0.2">
      <c r="A781" s="93">
        <v>104</v>
      </c>
      <c r="B781" s="94" t="s">
        <v>382</v>
      </c>
      <c r="C781" s="95" t="s">
        <v>7</v>
      </c>
      <c r="D781" s="96" t="s">
        <v>9</v>
      </c>
      <c r="E781" s="95" t="s">
        <v>7</v>
      </c>
      <c r="F781" s="96" t="s">
        <v>8</v>
      </c>
      <c r="G781" s="97">
        <v>1</v>
      </c>
      <c r="H781" s="98"/>
      <c r="I781" s="102">
        <v>1.15151515151515</v>
      </c>
      <c r="K781" s="96"/>
      <c r="L781" s="96"/>
    </row>
    <row r="782" spans="1:12" s="99" customFormat="1" x14ac:dyDescent="0.2">
      <c r="A782" s="93">
        <v>104</v>
      </c>
      <c r="B782" s="94" t="s">
        <v>382</v>
      </c>
      <c r="C782" s="95" t="s">
        <v>7</v>
      </c>
      <c r="D782" s="96" t="s">
        <v>9</v>
      </c>
      <c r="E782" s="95" t="s">
        <v>7</v>
      </c>
      <c r="F782" s="96" t="s">
        <v>8</v>
      </c>
      <c r="G782" s="97">
        <v>10</v>
      </c>
      <c r="H782" s="98"/>
      <c r="I782" s="102">
        <v>1.2020202020202</v>
      </c>
      <c r="K782" s="96"/>
      <c r="L782" s="96"/>
    </row>
    <row r="783" spans="1:12" s="4" customFormat="1" x14ac:dyDescent="0.2">
      <c r="A783" s="65">
        <v>104</v>
      </c>
      <c r="B783" s="66" t="s">
        <v>383</v>
      </c>
      <c r="C783" s="2" t="s">
        <v>7</v>
      </c>
      <c r="D783" s="1" t="s">
        <v>9</v>
      </c>
      <c r="E783" s="2" t="s">
        <v>7</v>
      </c>
      <c r="F783" s="1" t="s">
        <v>8</v>
      </c>
      <c r="G783" s="70">
        <v>0</v>
      </c>
      <c r="H783" s="3"/>
      <c r="I783" s="101">
        <v>0.999999999999999</v>
      </c>
      <c r="K783" s="1"/>
      <c r="L783" s="1"/>
    </row>
    <row r="784" spans="1:12" s="4" customFormat="1" x14ac:dyDescent="0.2">
      <c r="A784" s="65">
        <v>104</v>
      </c>
      <c r="B784" s="66" t="s">
        <v>383</v>
      </c>
      <c r="C784" s="2" t="s">
        <v>7</v>
      </c>
      <c r="D784" s="1" t="s">
        <v>9</v>
      </c>
      <c r="E784" s="2" t="s">
        <v>7</v>
      </c>
      <c r="F784" s="1" t="s">
        <v>8</v>
      </c>
      <c r="G784" s="70">
        <v>1E-3</v>
      </c>
      <c r="H784" s="3"/>
      <c r="I784" s="101">
        <v>1.0505050505050499</v>
      </c>
      <c r="K784" s="1"/>
      <c r="L784" s="1"/>
    </row>
    <row r="785" spans="1:12" s="4" customFormat="1" x14ac:dyDescent="0.2">
      <c r="A785" s="65">
        <v>104</v>
      </c>
      <c r="B785" s="66" t="s">
        <v>383</v>
      </c>
      <c r="C785" s="2" t="s">
        <v>7</v>
      </c>
      <c r="D785" s="1" t="s">
        <v>9</v>
      </c>
      <c r="E785" s="2" t="s">
        <v>7</v>
      </c>
      <c r="F785" s="1" t="s">
        <v>8</v>
      </c>
      <c r="G785" s="70">
        <v>0.01</v>
      </c>
      <c r="H785" s="3"/>
      <c r="I785" s="101">
        <v>1.0303030303030301</v>
      </c>
      <c r="K785" s="1"/>
      <c r="L785" s="1"/>
    </row>
    <row r="786" spans="1:12" s="4" customFormat="1" x14ac:dyDescent="0.2">
      <c r="A786" s="65">
        <v>104</v>
      </c>
      <c r="B786" s="66" t="s">
        <v>383</v>
      </c>
      <c r="C786" s="2" t="s">
        <v>7</v>
      </c>
      <c r="D786" s="1" t="s">
        <v>9</v>
      </c>
      <c r="E786" s="2" t="s">
        <v>7</v>
      </c>
      <c r="F786" s="1" t="s">
        <v>8</v>
      </c>
      <c r="G786" s="70">
        <v>0.1</v>
      </c>
      <c r="H786" s="3"/>
      <c r="I786" s="101">
        <v>1.64646464646464</v>
      </c>
      <c r="K786" s="1"/>
      <c r="L786" s="1"/>
    </row>
    <row r="787" spans="1:12" s="4" customFormat="1" x14ac:dyDescent="0.2">
      <c r="A787" s="65">
        <v>104</v>
      </c>
      <c r="B787" s="66" t="s">
        <v>383</v>
      </c>
      <c r="C787" s="2" t="s">
        <v>7</v>
      </c>
      <c r="D787" s="1" t="s">
        <v>9</v>
      </c>
      <c r="E787" s="2" t="s">
        <v>7</v>
      </c>
      <c r="F787" s="1" t="s">
        <v>8</v>
      </c>
      <c r="G787" s="70">
        <v>1</v>
      </c>
      <c r="H787" s="3"/>
      <c r="I787" s="101">
        <v>1.8686868686868601</v>
      </c>
      <c r="K787" s="1"/>
      <c r="L787" s="1"/>
    </row>
    <row r="788" spans="1:12" s="4" customFormat="1" x14ac:dyDescent="0.2">
      <c r="A788" s="65">
        <v>104</v>
      </c>
      <c r="B788" s="66" t="s">
        <v>383</v>
      </c>
      <c r="C788" s="2" t="s">
        <v>7</v>
      </c>
      <c r="D788" s="1" t="s">
        <v>9</v>
      </c>
      <c r="E788" s="2" t="s">
        <v>7</v>
      </c>
      <c r="F788" s="1" t="s">
        <v>8</v>
      </c>
      <c r="G788" s="70">
        <v>10</v>
      </c>
      <c r="H788" s="3"/>
      <c r="I788" s="101">
        <v>2.6262626262626201</v>
      </c>
      <c r="K788" s="1"/>
      <c r="L788" s="1"/>
    </row>
    <row r="789" spans="1:12" s="4" customFormat="1" x14ac:dyDescent="0.2">
      <c r="A789" s="65">
        <v>104</v>
      </c>
      <c r="B789" s="66" t="s">
        <v>384</v>
      </c>
      <c r="C789" s="2" t="s">
        <v>7</v>
      </c>
      <c r="D789" s="1" t="s">
        <v>9</v>
      </c>
      <c r="E789" s="2" t="s">
        <v>7</v>
      </c>
      <c r="F789" s="1" t="s">
        <v>8</v>
      </c>
      <c r="G789" s="70">
        <v>0</v>
      </c>
      <c r="H789" s="3"/>
      <c r="I789" s="101">
        <v>0.99597585513078601</v>
      </c>
      <c r="K789" s="1"/>
      <c r="L789" s="1"/>
    </row>
    <row r="790" spans="1:12" s="4" customFormat="1" x14ac:dyDescent="0.2">
      <c r="A790" s="65">
        <v>104</v>
      </c>
      <c r="B790" s="66" t="s">
        <v>384</v>
      </c>
      <c r="C790" s="2" t="s">
        <v>7</v>
      </c>
      <c r="D790" s="1" t="s">
        <v>9</v>
      </c>
      <c r="E790" s="2" t="s">
        <v>7</v>
      </c>
      <c r="F790" s="1" t="s">
        <v>8</v>
      </c>
      <c r="G790" s="70">
        <v>1E-3</v>
      </c>
      <c r="H790" s="3"/>
      <c r="I790" s="101">
        <v>1.0865191146881199</v>
      </c>
      <c r="K790" s="1"/>
      <c r="L790" s="1"/>
    </row>
    <row r="791" spans="1:12" s="4" customFormat="1" x14ac:dyDescent="0.2">
      <c r="A791" s="65">
        <v>104</v>
      </c>
      <c r="B791" s="66" t="s">
        <v>384</v>
      </c>
      <c r="C791" s="2" t="s">
        <v>7</v>
      </c>
      <c r="D791" s="1" t="s">
        <v>9</v>
      </c>
      <c r="E791" s="2" t="s">
        <v>7</v>
      </c>
      <c r="F791" s="1" t="s">
        <v>8</v>
      </c>
      <c r="G791" s="70">
        <v>0.01</v>
      </c>
      <c r="H791" s="3"/>
      <c r="I791" s="101">
        <v>1.6297786720321901</v>
      </c>
      <c r="K791" s="1"/>
      <c r="L791" s="1"/>
    </row>
    <row r="792" spans="1:12" s="4" customFormat="1" x14ac:dyDescent="0.2">
      <c r="A792" s="65">
        <v>104</v>
      </c>
      <c r="B792" s="66" t="s">
        <v>384</v>
      </c>
      <c r="C792" s="2" t="s">
        <v>7</v>
      </c>
      <c r="D792" s="1" t="s">
        <v>9</v>
      </c>
      <c r="E792" s="2" t="s">
        <v>7</v>
      </c>
      <c r="F792" s="1" t="s">
        <v>8</v>
      </c>
      <c r="G792" s="70">
        <v>0.1</v>
      </c>
      <c r="H792" s="3"/>
      <c r="I792" s="101">
        <v>1.52917505030181</v>
      </c>
      <c r="K792" s="1"/>
      <c r="L792" s="1"/>
    </row>
    <row r="793" spans="1:12" s="4" customFormat="1" x14ac:dyDescent="0.2">
      <c r="A793" s="65">
        <v>104</v>
      </c>
      <c r="B793" s="66" t="s">
        <v>384</v>
      </c>
      <c r="C793" s="2" t="s">
        <v>7</v>
      </c>
      <c r="D793" s="1" t="s">
        <v>9</v>
      </c>
      <c r="E793" s="2" t="s">
        <v>7</v>
      </c>
      <c r="F793" s="1" t="s">
        <v>8</v>
      </c>
      <c r="G793" s="70">
        <v>1</v>
      </c>
      <c r="H793" s="3"/>
      <c r="I793" s="101">
        <v>2.11267605633802</v>
      </c>
      <c r="K793" s="1"/>
      <c r="L793" s="1"/>
    </row>
    <row r="794" spans="1:12" s="4" customFormat="1" x14ac:dyDescent="0.2">
      <c r="A794" s="65">
        <v>104</v>
      </c>
      <c r="B794" s="66" t="s">
        <v>384</v>
      </c>
      <c r="C794" s="2" t="s">
        <v>7</v>
      </c>
      <c r="D794" s="1" t="s">
        <v>9</v>
      </c>
      <c r="E794" s="2" t="s">
        <v>7</v>
      </c>
      <c r="F794" s="1" t="s">
        <v>8</v>
      </c>
      <c r="G794" s="70">
        <v>10</v>
      </c>
      <c r="H794" s="3"/>
      <c r="I794" s="101">
        <v>2.3742454728370199</v>
      </c>
      <c r="K794" s="1"/>
      <c r="L794" s="1"/>
    </row>
    <row r="795" spans="1:12" s="4" customFormat="1" x14ac:dyDescent="0.2">
      <c r="A795" s="65">
        <v>104</v>
      </c>
      <c r="B795" s="66" t="s">
        <v>385</v>
      </c>
      <c r="C795" s="2" t="s">
        <v>7</v>
      </c>
      <c r="D795" s="1" t="s">
        <v>9</v>
      </c>
      <c r="E795" s="2" t="s">
        <v>7</v>
      </c>
      <c r="F795" s="1" t="s">
        <v>8</v>
      </c>
      <c r="G795" s="70">
        <v>0</v>
      </c>
      <c r="H795" s="3"/>
      <c r="I795" s="101">
        <v>0.99798387096774499</v>
      </c>
      <c r="K795" s="1"/>
      <c r="L795" s="1"/>
    </row>
    <row r="796" spans="1:12" s="4" customFormat="1" x14ac:dyDescent="0.2">
      <c r="A796" s="65">
        <v>104</v>
      </c>
      <c r="B796" s="66" t="s">
        <v>385</v>
      </c>
      <c r="C796" s="2" t="s">
        <v>7</v>
      </c>
      <c r="D796" s="1" t="s">
        <v>9</v>
      </c>
      <c r="E796" s="2" t="s">
        <v>7</v>
      </c>
      <c r="F796" s="1" t="s">
        <v>8</v>
      </c>
      <c r="G796" s="70">
        <v>1E-3</v>
      </c>
      <c r="H796" s="3"/>
      <c r="I796" s="101">
        <v>1.06854838709677</v>
      </c>
      <c r="K796" s="1"/>
      <c r="L796" s="1"/>
    </row>
    <row r="797" spans="1:12" s="4" customFormat="1" x14ac:dyDescent="0.2">
      <c r="A797" s="65">
        <v>104</v>
      </c>
      <c r="B797" s="66" t="s">
        <v>385</v>
      </c>
      <c r="C797" s="2" t="s">
        <v>7</v>
      </c>
      <c r="D797" s="1" t="s">
        <v>9</v>
      </c>
      <c r="E797" s="2" t="s">
        <v>7</v>
      </c>
      <c r="F797" s="1" t="s">
        <v>8</v>
      </c>
      <c r="G797" s="70">
        <v>0.01</v>
      </c>
      <c r="H797" s="3"/>
      <c r="I797" s="101">
        <v>1.3911290322580601</v>
      </c>
      <c r="K797" s="1"/>
      <c r="L797" s="1"/>
    </row>
    <row r="798" spans="1:12" s="4" customFormat="1" x14ac:dyDescent="0.2">
      <c r="A798" s="65">
        <v>104</v>
      </c>
      <c r="B798" s="66" t="s">
        <v>385</v>
      </c>
      <c r="C798" s="2" t="s">
        <v>7</v>
      </c>
      <c r="D798" s="1" t="s">
        <v>9</v>
      </c>
      <c r="E798" s="2" t="s">
        <v>7</v>
      </c>
      <c r="F798" s="1" t="s">
        <v>8</v>
      </c>
      <c r="G798" s="70">
        <v>0.1</v>
      </c>
      <c r="H798" s="3"/>
      <c r="I798" s="101">
        <v>2.11693548387096</v>
      </c>
      <c r="K798" s="1"/>
      <c r="L798" s="1"/>
    </row>
    <row r="799" spans="1:12" s="4" customFormat="1" x14ac:dyDescent="0.2">
      <c r="A799" s="65">
        <v>104</v>
      </c>
      <c r="B799" s="66" t="s">
        <v>385</v>
      </c>
      <c r="C799" s="2" t="s">
        <v>7</v>
      </c>
      <c r="D799" s="1" t="s">
        <v>9</v>
      </c>
      <c r="E799" s="2" t="s">
        <v>7</v>
      </c>
      <c r="F799" s="1" t="s">
        <v>8</v>
      </c>
      <c r="G799" s="70">
        <v>1</v>
      </c>
      <c r="H799" s="3"/>
      <c r="I799" s="101">
        <v>2.2379032258064502</v>
      </c>
      <c r="K799" s="1"/>
      <c r="L799" s="1"/>
    </row>
    <row r="800" spans="1:12" s="4" customFormat="1" x14ac:dyDescent="0.2">
      <c r="A800" s="65">
        <v>104</v>
      </c>
      <c r="B800" s="66" t="s">
        <v>385</v>
      </c>
      <c r="C800" s="2" t="s">
        <v>7</v>
      </c>
      <c r="D800" s="1" t="s">
        <v>9</v>
      </c>
      <c r="E800" s="2" t="s">
        <v>7</v>
      </c>
      <c r="F800" s="1" t="s">
        <v>8</v>
      </c>
      <c r="G800" s="70">
        <v>10</v>
      </c>
      <c r="H800" s="3"/>
      <c r="I800" s="101">
        <v>3.0342741935483799</v>
      </c>
      <c r="K800" s="1"/>
      <c r="L800" s="1"/>
    </row>
    <row r="801" spans="1:12" s="99" customFormat="1" x14ac:dyDescent="0.2">
      <c r="A801" s="93">
        <v>104</v>
      </c>
      <c r="B801" s="94" t="s">
        <v>382</v>
      </c>
      <c r="C801" s="95" t="s">
        <v>7</v>
      </c>
      <c r="D801" s="96" t="s">
        <v>9</v>
      </c>
      <c r="E801" s="95" t="s">
        <v>25</v>
      </c>
      <c r="F801" s="96" t="s">
        <v>26</v>
      </c>
      <c r="G801" s="97">
        <v>0</v>
      </c>
      <c r="H801" s="98"/>
      <c r="I801" s="102">
        <v>1.0101010101010099</v>
      </c>
      <c r="K801" s="96"/>
      <c r="L801" s="96"/>
    </row>
    <row r="802" spans="1:12" s="99" customFormat="1" x14ac:dyDescent="0.2">
      <c r="A802" s="93">
        <v>104</v>
      </c>
      <c r="B802" s="94" t="s">
        <v>382</v>
      </c>
      <c r="C802" s="95" t="s">
        <v>7</v>
      </c>
      <c r="D802" s="96" t="s">
        <v>9</v>
      </c>
      <c r="E802" s="95" t="s">
        <v>25</v>
      </c>
      <c r="F802" s="96" t="s">
        <v>26</v>
      </c>
      <c r="G802" s="97">
        <v>1E-3</v>
      </c>
      <c r="H802" s="98"/>
      <c r="I802" s="102">
        <v>0.78787878787878696</v>
      </c>
      <c r="K802" s="96"/>
      <c r="L802" s="96"/>
    </row>
    <row r="803" spans="1:12" s="99" customFormat="1" x14ac:dyDescent="0.2">
      <c r="A803" s="93">
        <v>104</v>
      </c>
      <c r="B803" s="94" t="s">
        <v>382</v>
      </c>
      <c r="C803" s="95" t="s">
        <v>7</v>
      </c>
      <c r="D803" s="96" t="s">
        <v>9</v>
      </c>
      <c r="E803" s="95" t="s">
        <v>25</v>
      </c>
      <c r="F803" s="96" t="s">
        <v>26</v>
      </c>
      <c r="G803" s="97">
        <v>0.01</v>
      </c>
      <c r="H803" s="98"/>
      <c r="I803" s="102">
        <v>0.81818181818181801</v>
      </c>
      <c r="K803" s="96"/>
      <c r="L803" s="96"/>
    </row>
    <row r="804" spans="1:12" s="99" customFormat="1" x14ac:dyDescent="0.2">
      <c r="A804" s="93">
        <v>104</v>
      </c>
      <c r="B804" s="94" t="s">
        <v>382</v>
      </c>
      <c r="C804" s="95" t="s">
        <v>7</v>
      </c>
      <c r="D804" s="96" t="s">
        <v>9</v>
      </c>
      <c r="E804" s="95" t="s">
        <v>25</v>
      </c>
      <c r="F804" s="96" t="s">
        <v>26</v>
      </c>
      <c r="G804" s="97">
        <v>0.1</v>
      </c>
      <c r="H804" s="98"/>
      <c r="I804" s="102">
        <v>1.19191919191919</v>
      </c>
      <c r="K804" s="96"/>
      <c r="L804" s="96"/>
    </row>
    <row r="805" spans="1:12" s="99" customFormat="1" x14ac:dyDescent="0.2">
      <c r="A805" s="93">
        <v>104</v>
      </c>
      <c r="B805" s="94" t="s">
        <v>382</v>
      </c>
      <c r="C805" s="95" t="s">
        <v>7</v>
      </c>
      <c r="D805" s="96" t="s">
        <v>9</v>
      </c>
      <c r="E805" s="95" t="s">
        <v>25</v>
      </c>
      <c r="F805" s="96" t="s">
        <v>26</v>
      </c>
      <c r="G805" s="97">
        <v>1</v>
      </c>
      <c r="H805" s="98"/>
      <c r="I805" s="102">
        <v>1.3838383838383801</v>
      </c>
      <c r="K805" s="96"/>
      <c r="L805" s="96"/>
    </row>
    <row r="806" spans="1:12" s="99" customFormat="1" x14ac:dyDescent="0.2">
      <c r="A806" s="93">
        <v>104</v>
      </c>
      <c r="B806" s="94" t="s">
        <v>382</v>
      </c>
      <c r="C806" s="95" t="s">
        <v>7</v>
      </c>
      <c r="D806" s="96" t="s">
        <v>9</v>
      </c>
      <c r="E806" s="95" t="s">
        <v>25</v>
      </c>
      <c r="F806" s="96" t="s">
        <v>26</v>
      </c>
      <c r="G806" s="97">
        <v>10</v>
      </c>
      <c r="H806" s="98"/>
      <c r="I806" s="102">
        <v>1.1717171717171699</v>
      </c>
      <c r="K806" s="96"/>
      <c r="L806" s="96"/>
    </row>
    <row r="807" spans="1:12" s="4" customFormat="1" x14ac:dyDescent="0.2">
      <c r="A807" s="65">
        <v>104</v>
      </c>
      <c r="B807" s="66" t="s">
        <v>383</v>
      </c>
      <c r="C807" s="2" t="s">
        <v>7</v>
      </c>
      <c r="D807" s="1" t="s">
        <v>9</v>
      </c>
      <c r="E807" s="2" t="s">
        <v>25</v>
      </c>
      <c r="F807" s="1" t="s">
        <v>26</v>
      </c>
      <c r="G807" s="70">
        <v>0</v>
      </c>
      <c r="H807" s="3"/>
      <c r="I807" s="101">
        <v>0.999999999999999</v>
      </c>
      <c r="K807" s="1"/>
      <c r="L807" s="1"/>
    </row>
    <row r="808" spans="1:12" s="4" customFormat="1" x14ac:dyDescent="0.2">
      <c r="A808" s="65">
        <v>104</v>
      </c>
      <c r="B808" s="66" t="s">
        <v>383</v>
      </c>
      <c r="C808" s="2" t="s">
        <v>7</v>
      </c>
      <c r="D808" s="1" t="s">
        <v>9</v>
      </c>
      <c r="E808" s="2" t="s">
        <v>25</v>
      </c>
      <c r="F808" s="1" t="s">
        <v>26</v>
      </c>
      <c r="G808" s="70">
        <v>1E-3</v>
      </c>
      <c r="H808" s="3"/>
      <c r="I808" s="101">
        <v>1.2525252525252499</v>
      </c>
      <c r="K808" s="1"/>
      <c r="L808" s="1"/>
    </row>
    <row r="809" spans="1:12" s="4" customFormat="1" x14ac:dyDescent="0.2">
      <c r="A809" s="65">
        <v>104</v>
      </c>
      <c r="B809" s="66" t="s">
        <v>383</v>
      </c>
      <c r="C809" s="2" t="s">
        <v>7</v>
      </c>
      <c r="D809" s="1" t="s">
        <v>9</v>
      </c>
      <c r="E809" s="2" t="s">
        <v>25</v>
      </c>
      <c r="F809" s="1" t="s">
        <v>26</v>
      </c>
      <c r="G809" s="70">
        <v>0.01</v>
      </c>
      <c r="H809" s="3"/>
      <c r="I809" s="101">
        <v>0.78787878787878696</v>
      </c>
      <c r="K809" s="1"/>
      <c r="L809" s="1"/>
    </row>
    <row r="810" spans="1:12" s="4" customFormat="1" x14ac:dyDescent="0.2">
      <c r="A810" s="65">
        <v>104</v>
      </c>
      <c r="B810" s="66" t="s">
        <v>383</v>
      </c>
      <c r="C810" s="2" t="s">
        <v>7</v>
      </c>
      <c r="D810" s="1" t="s">
        <v>9</v>
      </c>
      <c r="E810" s="2" t="s">
        <v>25</v>
      </c>
      <c r="F810" s="1" t="s">
        <v>26</v>
      </c>
      <c r="G810" s="70">
        <v>0.1</v>
      </c>
      <c r="H810" s="3"/>
      <c r="I810" s="101">
        <v>2.2626262626262599</v>
      </c>
      <c r="K810" s="1"/>
      <c r="L810" s="1"/>
    </row>
    <row r="811" spans="1:12" s="4" customFormat="1" x14ac:dyDescent="0.2">
      <c r="A811" s="65">
        <v>104</v>
      </c>
      <c r="B811" s="66" t="s">
        <v>383</v>
      </c>
      <c r="C811" s="2" t="s">
        <v>7</v>
      </c>
      <c r="D811" s="1" t="s">
        <v>9</v>
      </c>
      <c r="E811" s="2" t="s">
        <v>25</v>
      </c>
      <c r="F811" s="1" t="s">
        <v>26</v>
      </c>
      <c r="G811" s="70">
        <v>1</v>
      </c>
      <c r="H811" s="3"/>
      <c r="I811" s="101">
        <v>3.5353535353535301</v>
      </c>
      <c r="K811" s="1"/>
      <c r="L811" s="1"/>
    </row>
    <row r="812" spans="1:12" s="4" customFormat="1" x14ac:dyDescent="0.2">
      <c r="A812" s="65">
        <v>104</v>
      </c>
      <c r="B812" s="66" t="s">
        <v>383</v>
      </c>
      <c r="C812" s="2" t="s">
        <v>7</v>
      </c>
      <c r="D812" s="1" t="s">
        <v>9</v>
      </c>
      <c r="E812" s="2" t="s">
        <v>25</v>
      </c>
      <c r="F812" s="1" t="s">
        <v>26</v>
      </c>
      <c r="G812" s="70">
        <v>10</v>
      </c>
      <c r="H812" s="3"/>
      <c r="I812" s="101">
        <v>0.91919191919191801</v>
      </c>
      <c r="K812" s="1"/>
      <c r="L812" s="1"/>
    </row>
    <row r="813" spans="1:12" s="4" customFormat="1" x14ac:dyDescent="0.2">
      <c r="A813" s="65">
        <v>104</v>
      </c>
      <c r="B813" s="66" t="s">
        <v>384</v>
      </c>
      <c r="C813" s="2" t="s">
        <v>7</v>
      </c>
      <c r="D813" s="1" t="s">
        <v>9</v>
      </c>
      <c r="E813" s="2" t="s">
        <v>25</v>
      </c>
      <c r="F813" s="1" t="s">
        <v>26</v>
      </c>
      <c r="G813" s="70">
        <v>0</v>
      </c>
      <c r="H813" s="3"/>
      <c r="I813" s="101">
        <v>1.00603621730382</v>
      </c>
      <c r="K813" s="1"/>
      <c r="L813" s="1"/>
    </row>
    <row r="814" spans="1:12" s="4" customFormat="1" x14ac:dyDescent="0.2">
      <c r="A814" s="65">
        <v>104</v>
      </c>
      <c r="B814" s="66" t="s">
        <v>384</v>
      </c>
      <c r="C814" s="2" t="s">
        <v>7</v>
      </c>
      <c r="D814" s="1" t="s">
        <v>9</v>
      </c>
      <c r="E814" s="2" t="s">
        <v>25</v>
      </c>
      <c r="F814" s="1" t="s">
        <v>26</v>
      </c>
      <c r="G814" s="70">
        <v>1E-3</v>
      </c>
      <c r="H814" s="3"/>
      <c r="I814" s="101">
        <v>1.3078470824949699</v>
      </c>
      <c r="K814" s="1"/>
      <c r="L814" s="1"/>
    </row>
    <row r="815" spans="1:12" s="4" customFormat="1" x14ac:dyDescent="0.2">
      <c r="A815" s="65">
        <v>104</v>
      </c>
      <c r="B815" s="66" t="s">
        <v>384</v>
      </c>
      <c r="C815" s="2" t="s">
        <v>7</v>
      </c>
      <c r="D815" s="1" t="s">
        <v>9</v>
      </c>
      <c r="E815" s="2" t="s">
        <v>25</v>
      </c>
      <c r="F815" s="1" t="s">
        <v>26</v>
      </c>
      <c r="G815" s="70">
        <v>0.01</v>
      </c>
      <c r="H815" s="3"/>
      <c r="I815" s="101">
        <v>1.71026156941649</v>
      </c>
      <c r="K815" s="1"/>
      <c r="L815" s="1"/>
    </row>
    <row r="816" spans="1:12" s="4" customFormat="1" x14ac:dyDescent="0.2">
      <c r="A816" s="65">
        <v>104</v>
      </c>
      <c r="B816" s="66" t="s">
        <v>384</v>
      </c>
      <c r="C816" s="2" t="s">
        <v>7</v>
      </c>
      <c r="D816" s="1" t="s">
        <v>9</v>
      </c>
      <c r="E816" s="2" t="s">
        <v>25</v>
      </c>
      <c r="F816" s="1" t="s">
        <v>26</v>
      </c>
      <c r="G816" s="70">
        <v>0.1</v>
      </c>
      <c r="H816" s="3"/>
      <c r="I816" s="101">
        <v>2.7867203219315799</v>
      </c>
      <c r="K816" s="1"/>
      <c r="L816" s="1"/>
    </row>
    <row r="817" spans="1:12" s="4" customFormat="1" x14ac:dyDescent="0.2">
      <c r="A817" s="65">
        <v>104</v>
      </c>
      <c r="B817" s="66" t="s">
        <v>384</v>
      </c>
      <c r="C817" s="2" t="s">
        <v>7</v>
      </c>
      <c r="D817" s="1" t="s">
        <v>9</v>
      </c>
      <c r="E817" s="2" t="s">
        <v>25</v>
      </c>
      <c r="F817" s="1" t="s">
        <v>26</v>
      </c>
      <c r="G817" s="70">
        <v>1</v>
      </c>
      <c r="H817" s="3"/>
      <c r="I817" s="101">
        <v>4.3963782696177001</v>
      </c>
      <c r="K817" s="1"/>
      <c r="L817" s="1"/>
    </row>
    <row r="818" spans="1:12" s="4" customFormat="1" x14ac:dyDescent="0.2">
      <c r="A818" s="65">
        <v>104</v>
      </c>
      <c r="B818" s="66" t="s">
        <v>384</v>
      </c>
      <c r="C818" s="2" t="s">
        <v>7</v>
      </c>
      <c r="D818" s="1" t="s">
        <v>9</v>
      </c>
      <c r="E818" s="2" t="s">
        <v>25</v>
      </c>
      <c r="F818" s="1" t="s">
        <v>26</v>
      </c>
      <c r="G818" s="70">
        <v>10</v>
      </c>
      <c r="H818" s="3"/>
      <c r="I818" s="101">
        <v>1.0362173038229301</v>
      </c>
      <c r="K818" s="1"/>
      <c r="L818" s="1"/>
    </row>
    <row r="819" spans="1:12" s="4" customFormat="1" x14ac:dyDescent="0.2">
      <c r="A819" s="65">
        <v>104</v>
      </c>
      <c r="B819" s="66" t="s">
        <v>385</v>
      </c>
      <c r="C819" s="2" t="s">
        <v>7</v>
      </c>
      <c r="D819" s="1" t="s">
        <v>9</v>
      </c>
      <c r="E819" s="2" t="s">
        <v>25</v>
      </c>
      <c r="F819" s="1" t="s">
        <v>26</v>
      </c>
      <c r="G819" s="70">
        <v>0</v>
      </c>
      <c r="H819" s="3"/>
      <c r="I819" s="101">
        <v>1.00806451612903</v>
      </c>
      <c r="K819" s="1"/>
      <c r="L819" s="1"/>
    </row>
    <row r="820" spans="1:12" s="4" customFormat="1" x14ac:dyDescent="0.2">
      <c r="A820" s="65">
        <v>104</v>
      </c>
      <c r="B820" s="66" t="s">
        <v>385</v>
      </c>
      <c r="C820" s="2" t="s">
        <v>7</v>
      </c>
      <c r="D820" s="1" t="s">
        <v>9</v>
      </c>
      <c r="E820" s="2" t="s">
        <v>25</v>
      </c>
      <c r="F820" s="1" t="s">
        <v>26</v>
      </c>
      <c r="G820" s="70">
        <v>1E-3</v>
      </c>
      <c r="H820" s="3"/>
      <c r="I820" s="101">
        <v>1.61290322580645</v>
      </c>
      <c r="K820" s="1"/>
      <c r="L820" s="1"/>
    </row>
    <row r="821" spans="1:12" s="4" customFormat="1" x14ac:dyDescent="0.2">
      <c r="A821" s="65">
        <v>104</v>
      </c>
      <c r="B821" s="66" t="s">
        <v>385</v>
      </c>
      <c r="C821" s="2" t="s">
        <v>7</v>
      </c>
      <c r="D821" s="1" t="s">
        <v>9</v>
      </c>
      <c r="E821" s="2" t="s">
        <v>25</v>
      </c>
      <c r="F821" s="1" t="s">
        <v>26</v>
      </c>
      <c r="G821" s="70">
        <v>0.01</v>
      </c>
      <c r="H821" s="3"/>
      <c r="I821" s="101">
        <v>1.3306451612903201</v>
      </c>
      <c r="K821" s="1"/>
      <c r="L821" s="1"/>
    </row>
    <row r="822" spans="1:12" s="4" customFormat="1" x14ac:dyDescent="0.2">
      <c r="A822" s="65">
        <v>104</v>
      </c>
      <c r="B822" s="66" t="s">
        <v>385</v>
      </c>
      <c r="C822" s="2" t="s">
        <v>7</v>
      </c>
      <c r="D822" s="1" t="s">
        <v>9</v>
      </c>
      <c r="E822" s="2" t="s">
        <v>25</v>
      </c>
      <c r="F822" s="1" t="s">
        <v>26</v>
      </c>
      <c r="G822" s="70">
        <v>0.1</v>
      </c>
      <c r="H822" s="3"/>
      <c r="I822" s="101">
        <v>2.2479838709677402</v>
      </c>
      <c r="K822" s="1"/>
      <c r="L822" s="1"/>
    </row>
    <row r="823" spans="1:12" s="4" customFormat="1" x14ac:dyDescent="0.2">
      <c r="A823" s="65">
        <v>104</v>
      </c>
      <c r="B823" s="66" t="s">
        <v>385</v>
      </c>
      <c r="C823" s="2" t="s">
        <v>7</v>
      </c>
      <c r="D823" s="1" t="s">
        <v>9</v>
      </c>
      <c r="E823" s="2" t="s">
        <v>25</v>
      </c>
      <c r="F823" s="1" t="s">
        <v>26</v>
      </c>
      <c r="G823" s="70">
        <v>1</v>
      </c>
      <c r="H823" s="3"/>
      <c r="I823" s="101">
        <v>2.7721774193548301</v>
      </c>
      <c r="K823" s="1"/>
      <c r="L823" s="1"/>
    </row>
    <row r="824" spans="1:12" s="4" customFormat="1" x14ac:dyDescent="0.2">
      <c r="A824" s="65">
        <v>104</v>
      </c>
      <c r="B824" s="66" t="s">
        <v>385</v>
      </c>
      <c r="C824" s="2" t="s">
        <v>7</v>
      </c>
      <c r="D824" s="1" t="s">
        <v>9</v>
      </c>
      <c r="E824" s="2" t="s">
        <v>25</v>
      </c>
      <c r="F824" s="1" t="s">
        <v>26</v>
      </c>
      <c r="G824" s="70">
        <v>10</v>
      </c>
      <c r="H824" s="3"/>
      <c r="I824" s="101">
        <v>2.6915322580645098</v>
      </c>
      <c r="K824" s="1"/>
      <c r="L824" s="1"/>
    </row>
    <row r="825" spans="1:12" s="4" customFormat="1" x14ac:dyDescent="0.2">
      <c r="A825" s="65">
        <v>105</v>
      </c>
      <c r="B825" s="66" t="s">
        <v>30</v>
      </c>
      <c r="C825" s="2" t="s">
        <v>7</v>
      </c>
      <c r="D825" s="1" t="s">
        <v>46</v>
      </c>
      <c r="E825" s="2" t="s">
        <v>7</v>
      </c>
      <c r="F825" s="1" t="s">
        <v>35</v>
      </c>
      <c r="G825" s="70">
        <v>0</v>
      </c>
      <c r="H825" s="3">
        <v>2.9099590723055901E-2</v>
      </c>
      <c r="I825" s="101">
        <f>H825/$H$825</f>
        <v>1</v>
      </c>
      <c r="K825" s="1"/>
      <c r="L825" s="1"/>
    </row>
    <row r="826" spans="1:12" s="4" customFormat="1" x14ac:dyDescent="0.2">
      <c r="A826" s="65">
        <v>105</v>
      </c>
      <c r="B826" s="66" t="s">
        <v>30</v>
      </c>
      <c r="C826" s="2" t="s">
        <v>7</v>
      </c>
      <c r="D826" s="1" t="s">
        <v>46</v>
      </c>
      <c r="E826" s="2" t="s">
        <v>7</v>
      </c>
      <c r="F826" s="1" t="s">
        <v>35</v>
      </c>
      <c r="G826" s="70">
        <v>8</v>
      </c>
      <c r="H826" s="3">
        <v>1.57162346521145E-2</v>
      </c>
      <c r="I826" s="101">
        <f t="shared" ref="I826:I831" si="17">H826/$H$825</f>
        <v>0.5400843881856513</v>
      </c>
      <c r="K826" s="1"/>
      <c r="L826" s="1"/>
    </row>
    <row r="827" spans="1:12" s="4" customFormat="1" x14ac:dyDescent="0.2">
      <c r="A827" s="65">
        <v>105</v>
      </c>
      <c r="B827" s="66" t="s">
        <v>30</v>
      </c>
      <c r="C827" s="2" t="s">
        <v>7</v>
      </c>
      <c r="D827" s="1" t="s">
        <v>46</v>
      </c>
      <c r="E827" s="2" t="s">
        <v>7</v>
      </c>
      <c r="F827" s="1" t="s">
        <v>35</v>
      </c>
      <c r="G827" s="70">
        <v>16</v>
      </c>
      <c r="H827" s="3">
        <v>1.3547066848567499E-2</v>
      </c>
      <c r="I827" s="101">
        <f t="shared" si="17"/>
        <v>0.46554149085794599</v>
      </c>
      <c r="K827" s="1"/>
      <c r="L827" s="1"/>
    </row>
    <row r="828" spans="1:12" s="4" customFormat="1" x14ac:dyDescent="0.2">
      <c r="A828" s="65">
        <v>105</v>
      </c>
      <c r="B828" s="66" t="s">
        <v>30</v>
      </c>
      <c r="C828" s="2" t="s">
        <v>7</v>
      </c>
      <c r="D828" s="1" t="s">
        <v>46</v>
      </c>
      <c r="E828" s="2" t="s">
        <v>7</v>
      </c>
      <c r="F828" s="1" t="s">
        <v>35</v>
      </c>
      <c r="G828" s="70">
        <v>32</v>
      </c>
      <c r="H828" s="3">
        <v>1.35061391541609E-2</v>
      </c>
      <c r="I828" s="101">
        <f t="shared" si="17"/>
        <v>0.46413502109704408</v>
      </c>
      <c r="K828" s="1"/>
      <c r="L828" s="1"/>
    </row>
    <row r="829" spans="1:12" x14ac:dyDescent="0.2">
      <c r="A829" s="65">
        <v>105</v>
      </c>
      <c r="B829" s="66" t="s">
        <v>30</v>
      </c>
      <c r="C829" s="2" t="s">
        <v>7</v>
      </c>
      <c r="D829" s="1" t="s">
        <v>46</v>
      </c>
      <c r="E829" s="2" t="s">
        <v>7</v>
      </c>
      <c r="F829" s="1" t="s">
        <v>35</v>
      </c>
      <c r="G829" s="70">
        <v>64</v>
      </c>
      <c r="H829" s="3">
        <v>9.7817189631650599E-3</v>
      </c>
      <c r="I829" s="101">
        <f>H829/$H$825</f>
        <v>0.33614627285513349</v>
      </c>
    </row>
    <row r="830" spans="1:12" x14ac:dyDescent="0.2">
      <c r="A830" s="65">
        <v>105</v>
      </c>
      <c r="B830" s="66" t="s">
        <v>30</v>
      </c>
      <c r="C830" s="2" t="s">
        <v>7</v>
      </c>
      <c r="D830" s="1" t="s">
        <v>46</v>
      </c>
      <c r="E830" s="2" t="s">
        <v>7</v>
      </c>
      <c r="F830" s="1" t="s">
        <v>35</v>
      </c>
      <c r="G830" s="70">
        <v>128</v>
      </c>
      <c r="H830" s="3">
        <v>8.7175989085948105E-3</v>
      </c>
      <c r="I830" s="101">
        <f t="shared" si="17"/>
        <v>0.29957805907173013</v>
      </c>
    </row>
    <row r="831" spans="1:12" x14ac:dyDescent="0.2">
      <c r="A831" s="65">
        <v>105</v>
      </c>
      <c r="B831" s="66" t="s">
        <v>30</v>
      </c>
      <c r="C831" s="2" t="s">
        <v>7</v>
      </c>
      <c r="D831" s="1" t="s">
        <v>46</v>
      </c>
      <c r="E831" s="2" t="s">
        <v>7</v>
      </c>
      <c r="F831" s="1" t="s">
        <v>35</v>
      </c>
      <c r="G831" s="70">
        <v>256</v>
      </c>
      <c r="H831" s="3">
        <v>9.1268758526602892E-3</v>
      </c>
      <c r="I831" s="101">
        <f t="shared" si="17"/>
        <v>0.31364275668073133</v>
      </c>
    </row>
    <row r="832" spans="1:12" x14ac:dyDescent="0.2">
      <c r="A832" s="65">
        <v>105</v>
      </c>
      <c r="B832" s="66" t="s">
        <v>30</v>
      </c>
      <c r="C832" s="2" t="s">
        <v>7</v>
      </c>
      <c r="D832" s="1" t="s">
        <v>46</v>
      </c>
      <c r="E832" s="2" t="s">
        <v>7</v>
      </c>
      <c r="F832" s="1" t="s">
        <v>35</v>
      </c>
      <c r="G832" s="70">
        <v>512</v>
      </c>
      <c r="H832" s="3">
        <v>3.0695770804911198E-3</v>
      </c>
      <c r="I832" s="101">
        <f>H832/$H$825</f>
        <v>0.10548523206751025</v>
      </c>
    </row>
    <row r="833" spans="1:9" x14ac:dyDescent="0.2">
      <c r="A833" s="65">
        <v>107</v>
      </c>
      <c r="B833" s="66" t="s">
        <v>401</v>
      </c>
      <c r="C833" s="2" t="s">
        <v>7</v>
      </c>
      <c r="D833" s="1" t="s">
        <v>20</v>
      </c>
      <c r="E833" s="2" t="s">
        <v>7</v>
      </c>
      <c r="F833" s="1" t="s">
        <v>35</v>
      </c>
      <c r="G833" s="70">
        <v>0</v>
      </c>
      <c r="I833" s="101">
        <v>0.99871465295629802</v>
      </c>
    </row>
    <row r="834" spans="1:9" x14ac:dyDescent="0.2">
      <c r="A834" s="65">
        <v>107</v>
      </c>
      <c r="B834" s="66" t="s">
        <v>401</v>
      </c>
      <c r="C834" s="2" t="s">
        <v>7</v>
      </c>
      <c r="D834" s="1" t="s">
        <v>20</v>
      </c>
      <c r="E834" s="2" t="s">
        <v>7</v>
      </c>
      <c r="F834" s="1" t="s">
        <v>35</v>
      </c>
      <c r="G834" s="70">
        <v>250</v>
      </c>
      <c r="I834" s="101">
        <v>0.96015424164524399</v>
      </c>
    </row>
    <row r="835" spans="1:9" x14ac:dyDescent="0.2">
      <c r="A835" s="65">
        <v>107</v>
      </c>
      <c r="B835" s="66" t="s">
        <v>401</v>
      </c>
      <c r="C835" s="2" t="s">
        <v>7</v>
      </c>
      <c r="D835" s="1" t="s">
        <v>20</v>
      </c>
      <c r="E835" s="2" t="s">
        <v>7</v>
      </c>
      <c r="F835" s="1" t="s">
        <v>35</v>
      </c>
      <c r="G835" s="70">
        <v>500</v>
      </c>
      <c r="I835" s="101">
        <v>0.43958868894601499</v>
      </c>
    </row>
    <row r="836" spans="1:9" x14ac:dyDescent="0.2">
      <c r="A836" s="65">
        <v>107</v>
      </c>
      <c r="B836" s="66" t="s">
        <v>401</v>
      </c>
      <c r="C836" s="2" t="s">
        <v>7</v>
      </c>
      <c r="D836" s="1" t="s">
        <v>20</v>
      </c>
      <c r="E836" s="2" t="s">
        <v>7</v>
      </c>
      <c r="F836" s="1" t="s">
        <v>35</v>
      </c>
      <c r="G836" s="70">
        <v>1000</v>
      </c>
      <c r="I836" s="101">
        <v>0.22750642673521801</v>
      </c>
    </row>
    <row r="837" spans="1:9" x14ac:dyDescent="0.2">
      <c r="A837" s="65">
        <v>107</v>
      </c>
      <c r="B837" s="66" t="s">
        <v>401</v>
      </c>
      <c r="C837" s="2" t="s">
        <v>7</v>
      </c>
      <c r="D837" s="1" t="s">
        <v>20</v>
      </c>
      <c r="E837" s="2" t="s">
        <v>358</v>
      </c>
      <c r="F837" s="1" t="s">
        <v>359</v>
      </c>
      <c r="G837" s="70">
        <v>0</v>
      </c>
      <c r="I837" s="101">
        <v>0.99816176470588203</v>
      </c>
    </row>
    <row r="838" spans="1:9" x14ac:dyDescent="0.2">
      <c r="A838" s="65">
        <v>107</v>
      </c>
      <c r="B838" s="66" t="s">
        <v>401</v>
      </c>
      <c r="C838" s="2" t="s">
        <v>7</v>
      </c>
      <c r="D838" s="1" t="s">
        <v>20</v>
      </c>
      <c r="E838" s="2" t="s">
        <v>358</v>
      </c>
      <c r="F838" s="1" t="s">
        <v>359</v>
      </c>
      <c r="G838" s="70">
        <v>250</v>
      </c>
      <c r="I838" s="101">
        <v>0.42738970588235198</v>
      </c>
    </row>
    <row r="839" spans="1:9" x14ac:dyDescent="0.2">
      <c r="A839" s="65">
        <v>107</v>
      </c>
      <c r="B839" s="66" t="s">
        <v>401</v>
      </c>
      <c r="C839" s="2" t="s">
        <v>7</v>
      </c>
      <c r="D839" s="1" t="s">
        <v>20</v>
      </c>
      <c r="E839" s="2" t="s">
        <v>358</v>
      </c>
      <c r="F839" s="1" t="s">
        <v>359</v>
      </c>
      <c r="G839" s="70">
        <v>500</v>
      </c>
      <c r="I839" s="101">
        <v>0.181985294117647</v>
      </c>
    </row>
    <row r="840" spans="1:9" x14ac:dyDescent="0.2">
      <c r="A840" s="65">
        <v>131</v>
      </c>
      <c r="B840" s="66" t="s">
        <v>360</v>
      </c>
      <c r="C840" s="2" t="s">
        <v>58</v>
      </c>
      <c r="D840" s="1" t="s">
        <v>20</v>
      </c>
      <c r="E840" s="2" t="s">
        <v>7</v>
      </c>
      <c r="F840" s="1" t="s">
        <v>8</v>
      </c>
      <c r="G840" s="70">
        <v>0</v>
      </c>
      <c r="I840" s="101">
        <v>0.94488188976377496</v>
      </c>
    </row>
    <row r="841" spans="1:9" x14ac:dyDescent="0.2">
      <c r="A841" s="65">
        <v>131</v>
      </c>
      <c r="B841" s="66" t="s">
        <v>360</v>
      </c>
      <c r="C841" s="2" t="s">
        <v>58</v>
      </c>
      <c r="D841" s="1" t="s">
        <v>20</v>
      </c>
      <c r="E841" s="2" t="s">
        <v>7</v>
      </c>
      <c r="F841" s="1" t="s">
        <v>8</v>
      </c>
      <c r="G841" s="70">
        <v>1.0000000000000001E-5</v>
      </c>
      <c r="I841" s="101">
        <v>31.818181818181799</v>
      </c>
    </row>
    <row r="842" spans="1:9" x14ac:dyDescent="0.2">
      <c r="A842" s="65">
        <v>131</v>
      </c>
      <c r="B842" s="66" t="s">
        <v>360</v>
      </c>
      <c r="C842" s="2" t="s">
        <v>58</v>
      </c>
      <c r="D842" s="1" t="s">
        <v>20</v>
      </c>
      <c r="E842" s="2" t="s">
        <v>7</v>
      </c>
      <c r="F842" s="1" t="s">
        <v>8</v>
      </c>
      <c r="G842" s="70">
        <v>1E-4</v>
      </c>
      <c r="I842" s="101">
        <v>73.636363636363598</v>
      </c>
    </row>
    <row r="843" spans="1:9" x14ac:dyDescent="0.2">
      <c r="A843" s="65">
        <v>131</v>
      </c>
      <c r="B843" s="66" t="s">
        <v>360</v>
      </c>
      <c r="C843" s="2" t="s">
        <v>58</v>
      </c>
      <c r="D843" s="1" t="s">
        <v>20</v>
      </c>
      <c r="E843" s="2" t="s">
        <v>7</v>
      </c>
      <c r="F843" s="1" t="s">
        <v>8</v>
      </c>
      <c r="G843" s="70">
        <v>1E-3</v>
      </c>
      <c r="I843" s="101">
        <v>9.0944881889763707</v>
      </c>
    </row>
    <row r="844" spans="1:9" x14ac:dyDescent="0.2">
      <c r="A844" s="65">
        <v>131</v>
      </c>
      <c r="B844" s="66" t="s">
        <v>360</v>
      </c>
      <c r="C844" s="2" t="s">
        <v>58</v>
      </c>
      <c r="D844" s="1" t="s">
        <v>20</v>
      </c>
      <c r="E844" s="2" t="s">
        <v>7</v>
      </c>
      <c r="F844" s="1" t="s">
        <v>8</v>
      </c>
      <c r="G844" s="70">
        <v>0.01</v>
      </c>
      <c r="I844" s="101">
        <v>9.6850393700787301</v>
      </c>
    </row>
    <row r="845" spans="1:9" x14ac:dyDescent="0.2">
      <c r="A845" s="65">
        <v>131</v>
      </c>
      <c r="B845" s="66" t="s">
        <v>360</v>
      </c>
      <c r="C845" s="2" t="s">
        <v>58</v>
      </c>
      <c r="D845" s="1" t="s">
        <v>20</v>
      </c>
      <c r="E845" s="2" t="s">
        <v>7</v>
      </c>
      <c r="F845" s="1" t="s">
        <v>8</v>
      </c>
      <c r="G845" s="70">
        <v>0.1</v>
      </c>
      <c r="I845" s="101">
        <v>3.54330708661417</v>
      </c>
    </row>
    <row r="846" spans="1:9" x14ac:dyDescent="0.2">
      <c r="A846" s="65">
        <v>131</v>
      </c>
      <c r="B846" s="66" t="s">
        <v>361</v>
      </c>
      <c r="C846" s="2" t="s">
        <v>58</v>
      </c>
      <c r="D846" s="1" t="s">
        <v>20</v>
      </c>
      <c r="E846" s="2" t="s">
        <v>7</v>
      </c>
      <c r="F846" s="1" t="s">
        <v>8</v>
      </c>
      <c r="G846" s="70">
        <v>0</v>
      </c>
      <c r="I846" s="101">
        <v>0.968749999999999</v>
      </c>
    </row>
    <row r="847" spans="1:9" x14ac:dyDescent="0.2">
      <c r="A847" s="65">
        <v>131</v>
      </c>
      <c r="B847" s="66" t="s">
        <v>361</v>
      </c>
      <c r="C847" s="2" t="s">
        <v>58</v>
      </c>
      <c r="D847" s="1" t="s">
        <v>20</v>
      </c>
      <c r="E847" s="2" t="s">
        <v>7</v>
      </c>
      <c r="F847" s="1" t="s">
        <v>8</v>
      </c>
      <c r="G847" s="70">
        <v>1.0000000000000001E-5</v>
      </c>
      <c r="I847" s="101">
        <v>10.794392523364399</v>
      </c>
    </row>
    <row r="848" spans="1:9" x14ac:dyDescent="0.2">
      <c r="A848" s="65">
        <v>131</v>
      </c>
      <c r="B848" s="66" t="s">
        <v>361</v>
      </c>
      <c r="C848" s="2" t="s">
        <v>58</v>
      </c>
      <c r="D848" s="1" t="s">
        <v>20</v>
      </c>
      <c r="E848" s="2" t="s">
        <v>7</v>
      </c>
      <c r="F848" s="1" t="s">
        <v>8</v>
      </c>
      <c r="G848" s="70">
        <v>1E-4</v>
      </c>
      <c r="I848" s="101">
        <v>8.1775700934579092</v>
      </c>
    </row>
    <row r="849" spans="1:12" x14ac:dyDescent="0.2">
      <c r="A849" s="65">
        <v>131</v>
      </c>
      <c r="B849" s="66" t="s">
        <v>361</v>
      </c>
      <c r="C849" s="2" t="s">
        <v>58</v>
      </c>
      <c r="D849" s="1" t="s">
        <v>20</v>
      </c>
      <c r="E849" s="2" t="s">
        <v>7</v>
      </c>
      <c r="F849" s="1" t="s">
        <v>8</v>
      </c>
      <c r="G849" s="70">
        <v>1E-3</v>
      </c>
      <c r="I849" s="101">
        <v>1.40624999999999</v>
      </c>
    </row>
    <row r="850" spans="1:12" x14ac:dyDescent="0.2">
      <c r="A850" s="65">
        <v>131</v>
      </c>
      <c r="B850" s="66" t="s">
        <v>361</v>
      </c>
      <c r="C850" s="2" t="s">
        <v>58</v>
      </c>
      <c r="D850" s="1" t="s">
        <v>20</v>
      </c>
      <c r="E850" s="2" t="s">
        <v>7</v>
      </c>
      <c r="F850" s="1" t="s">
        <v>8</v>
      </c>
      <c r="G850" s="70">
        <v>0.01</v>
      </c>
      <c r="I850" s="101">
        <v>1.75</v>
      </c>
    </row>
    <row r="851" spans="1:12" x14ac:dyDescent="0.2">
      <c r="A851" s="65">
        <v>131</v>
      </c>
      <c r="B851" s="66" t="s">
        <v>361</v>
      </c>
      <c r="C851" s="2" t="s">
        <v>58</v>
      </c>
      <c r="D851" s="1" t="s">
        <v>20</v>
      </c>
      <c r="E851" s="2" t="s">
        <v>7</v>
      </c>
      <c r="F851" s="1" t="s">
        <v>8</v>
      </c>
      <c r="G851" s="70">
        <v>0.1</v>
      </c>
      <c r="I851" s="101">
        <v>0.4375</v>
      </c>
    </row>
    <row r="852" spans="1:12" x14ac:dyDescent="0.2">
      <c r="A852" s="65">
        <v>131</v>
      </c>
      <c r="B852" s="66" t="s">
        <v>362</v>
      </c>
      <c r="C852" s="2" t="s">
        <v>58</v>
      </c>
      <c r="D852" s="1" t="s">
        <v>20</v>
      </c>
      <c r="E852" s="2" t="s">
        <v>7</v>
      </c>
      <c r="F852" s="1" t="s">
        <v>8</v>
      </c>
      <c r="G852" s="70">
        <v>0</v>
      </c>
      <c r="I852" s="101">
        <v>0.97777777777777797</v>
      </c>
    </row>
    <row r="853" spans="1:12" x14ac:dyDescent="0.2">
      <c r="A853" s="65">
        <v>131</v>
      </c>
      <c r="B853" s="66" t="s">
        <v>362</v>
      </c>
      <c r="C853" s="2" t="s">
        <v>58</v>
      </c>
      <c r="D853" s="1" t="s">
        <v>20</v>
      </c>
      <c r="E853" s="2" t="s">
        <v>7</v>
      </c>
      <c r="F853" s="1" t="s">
        <v>8</v>
      </c>
      <c r="G853" s="70">
        <v>1.0000000000000001E-5</v>
      </c>
      <c r="I853" s="101">
        <v>28.718592964824101</v>
      </c>
    </row>
    <row r="854" spans="1:12" x14ac:dyDescent="0.2">
      <c r="A854" s="65">
        <v>131</v>
      </c>
      <c r="B854" s="66" t="s">
        <v>362</v>
      </c>
      <c r="C854" s="2" t="s">
        <v>58</v>
      </c>
      <c r="D854" s="1" t="s">
        <v>20</v>
      </c>
      <c r="E854" s="2" t="s">
        <v>7</v>
      </c>
      <c r="F854" s="1" t="s">
        <v>8</v>
      </c>
      <c r="G854" s="70">
        <v>1E-4</v>
      </c>
      <c r="I854" s="101">
        <v>39.371859296482398</v>
      </c>
    </row>
    <row r="855" spans="1:12" x14ac:dyDescent="0.2">
      <c r="A855" s="65">
        <v>131</v>
      </c>
      <c r="B855" s="66" t="s">
        <v>362</v>
      </c>
      <c r="C855" s="2" t="s">
        <v>58</v>
      </c>
      <c r="D855" s="1" t="s">
        <v>20</v>
      </c>
      <c r="E855" s="2" t="s">
        <v>7</v>
      </c>
      <c r="F855" s="1" t="s">
        <v>8</v>
      </c>
      <c r="G855" s="70">
        <v>1E-3</v>
      </c>
      <c r="I855" s="101">
        <v>15.251256281407001</v>
      </c>
    </row>
    <row r="856" spans="1:12" x14ac:dyDescent="0.2">
      <c r="A856" s="65">
        <v>131</v>
      </c>
      <c r="B856" s="66" t="s">
        <v>362</v>
      </c>
      <c r="C856" s="2" t="s">
        <v>58</v>
      </c>
      <c r="D856" s="1" t="s">
        <v>20</v>
      </c>
      <c r="E856" s="2" t="s">
        <v>7</v>
      </c>
      <c r="F856" s="1" t="s">
        <v>8</v>
      </c>
      <c r="G856" s="70">
        <v>0.01</v>
      </c>
      <c r="I856" s="101">
        <v>6.4070351758794004</v>
      </c>
    </row>
    <row r="857" spans="1:12" x14ac:dyDescent="0.2">
      <c r="A857" s="65">
        <v>131</v>
      </c>
      <c r="B857" s="66" t="s">
        <v>362</v>
      </c>
      <c r="C857" s="2" t="s">
        <v>58</v>
      </c>
      <c r="D857" s="1" t="s">
        <v>20</v>
      </c>
      <c r="E857" s="2" t="s">
        <v>7</v>
      </c>
      <c r="F857" s="1" t="s">
        <v>8</v>
      </c>
      <c r="G857" s="70">
        <v>0.1</v>
      </c>
      <c r="I857" s="101">
        <v>7.0100502512562901</v>
      </c>
    </row>
    <row r="858" spans="1:12" x14ac:dyDescent="0.2">
      <c r="A858" s="65">
        <v>110</v>
      </c>
      <c r="B858" s="66" t="s">
        <v>364</v>
      </c>
      <c r="C858" s="2" t="s">
        <v>7</v>
      </c>
      <c r="D858" s="1" t="s">
        <v>363</v>
      </c>
      <c r="E858" s="2" t="s">
        <v>7</v>
      </c>
      <c r="F858" s="1" t="s">
        <v>46</v>
      </c>
      <c r="G858" s="70">
        <v>0</v>
      </c>
      <c r="I858" s="101">
        <v>1</v>
      </c>
      <c r="L858" s="66"/>
    </row>
    <row r="859" spans="1:12" x14ac:dyDescent="0.2">
      <c r="A859" s="65">
        <v>110</v>
      </c>
      <c r="B859" s="66" t="s">
        <v>364</v>
      </c>
      <c r="C859" s="2" t="s">
        <v>7</v>
      </c>
      <c r="D859" s="1" t="s">
        <v>363</v>
      </c>
      <c r="E859" s="2" t="s">
        <v>7</v>
      </c>
      <c r="F859" s="1" t="s">
        <v>46</v>
      </c>
      <c r="G859" s="70">
        <v>0.22219999999999998</v>
      </c>
      <c r="I859" s="101">
        <v>1.3411949685534501</v>
      </c>
    </row>
    <row r="860" spans="1:12" x14ac:dyDescent="0.2">
      <c r="A860" s="65">
        <v>110</v>
      </c>
      <c r="B860" s="66" t="s">
        <v>364</v>
      </c>
      <c r="C860" s="2" t="s">
        <v>7</v>
      </c>
      <c r="D860" s="1" t="s">
        <v>363</v>
      </c>
      <c r="E860" s="2" t="s">
        <v>7</v>
      </c>
      <c r="F860" s="1" t="s">
        <v>46</v>
      </c>
      <c r="G860" s="70">
        <v>2.222</v>
      </c>
      <c r="I860" s="101">
        <v>3.3883647798742098</v>
      </c>
    </row>
    <row r="861" spans="1:12" x14ac:dyDescent="0.2">
      <c r="A861" s="65">
        <v>110</v>
      </c>
      <c r="B861" s="66" t="s">
        <v>364</v>
      </c>
      <c r="C861" s="2" t="s">
        <v>7</v>
      </c>
      <c r="D861" s="1" t="s">
        <v>363</v>
      </c>
      <c r="E861" s="2" t="s">
        <v>7</v>
      </c>
      <c r="F861" s="1" t="s">
        <v>46</v>
      </c>
      <c r="G861" s="70">
        <v>22.22</v>
      </c>
      <c r="I861" s="101">
        <v>5.9088050314465397</v>
      </c>
    </row>
    <row r="862" spans="1:12" x14ac:dyDescent="0.2">
      <c r="A862" s="65">
        <v>110</v>
      </c>
      <c r="B862" s="66" t="s">
        <v>364</v>
      </c>
      <c r="C862" s="2" t="s">
        <v>7</v>
      </c>
      <c r="D862" s="1" t="s">
        <v>363</v>
      </c>
      <c r="E862" s="2" t="s">
        <v>7</v>
      </c>
      <c r="F862" s="1" t="s">
        <v>46</v>
      </c>
      <c r="G862" s="70">
        <v>44.44</v>
      </c>
      <c r="I862" s="101">
        <v>0.94496855345911901</v>
      </c>
    </row>
    <row r="863" spans="1:12" x14ac:dyDescent="0.2">
      <c r="A863" s="65">
        <v>110</v>
      </c>
      <c r="B863" s="66" t="s">
        <v>364</v>
      </c>
      <c r="C863" s="2" t="s">
        <v>7</v>
      </c>
      <c r="D863" s="1" t="s">
        <v>363</v>
      </c>
      <c r="E863" s="2" t="s">
        <v>7</v>
      </c>
      <c r="F863" s="1" t="s">
        <v>46</v>
      </c>
      <c r="G863" s="70">
        <v>66.66</v>
      </c>
      <c r="I863" s="101">
        <v>0.46069182389937102</v>
      </c>
    </row>
    <row r="864" spans="1:12" x14ac:dyDescent="0.2">
      <c r="A864" s="65">
        <v>110</v>
      </c>
      <c r="B864" s="66" t="s">
        <v>364</v>
      </c>
      <c r="C864" s="2" t="s">
        <v>7</v>
      </c>
      <c r="D864" s="1" t="s">
        <v>363</v>
      </c>
      <c r="E864" s="2" t="s">
        <v>7</v>
      </c>
      <c r="F864" s="1" t="s">
        <v>46</v>
      </c>
      <c r="G864" s="70">
        <v>88.88</v>
      </c>
      <c r="I864" s="101">
        <v>0.240566037735848</v>
      </c>
    </row>
    <row r="865" spans="1:12" x14ac:dyDescent="0.2">
      <c r="A865" s="65">
        <v>110</v>
      </c>
      <c r="B865" s="66" t="s">
        <v>364</v>
      </c>
      <c r="C865" s="2" t="s">
        <v>7</v>
      </c>
      <c r="D865" s="1" t="s">
        <v>363</v>
      </c>
      <c r="E865" s="2" t="s">
        <v>7</v>
      </c>
      <c r="F865" s="1" t="s">
        <v>46</v>
      </c>
      <c r="G865" s="70">
        <v>111.10000000000001</v>
      </c>
      <c r="I865" s="101">
        <v>0.16352201257861601</v>
      </c>
    </row>
    <row r="866" spans="1:12" x14ac:dyDescent="0.2">
      <c r="A866" s="65">
        <v>110</v>
      </c>
      <c r="B866" s="66" t="s">
        <v>364</v>
      </c>
      <c r="C866" s="2" t="s">
        <v>7</v>
      </c>
      <c r="D866" s="1" t="s">
        <v>363</v>
      </c>
      <c r="E866" s="2" t="s">
        <v>7</v>
      </c>
      <c r="F866" s="1" t="s">
        <v>46</v>
      </c>
      <c r="G866" s="70">
        <v>133.32</v>
      </c>
      <c r="I866" s="101">
        <v>4.2452830188679E-2</v>
      </c>
      <c r="L866" s="66"/>
    </row>
    <row r="867" spans="1:12" x14ac:dyDescent="0.2">
      <c r="A867" s="65">
        <v>110</v>
      </c>
      <c r="B867" s="66" t="s">
        <v>365</v>
      </c>
      <c r="C867" s="2" t="s">
        <v>7</v>
      </c>
      <c r="D867" s="1" t="s">
        <v>363</v>
      </c>
      <c r="E867" s="2" t="s">
        <v>7</v>
      </c>
      <c r="F867" s="1" t="s">
        <v>46</v>
      </c>
      <c r="G867" s="70">
        <v>0</v>
      </c>
      <c r="I867" s="101">
        <v>1</v>
      </c>
      <c r="L867" s="66"/>
    </row>
    <row r="868" spans="1:12" x14ac:dyDescent="0.2">
      <c r="A868" s="65">
        <v>110</v>
      </c>
      <c r="B868" s="66" t="s">
        <v>365</v>
      </c>
      <c r="C868" s="2" t="s">
        <v>7</v>
      </c>
      <c r="D868" s="1" t="s">
        <v>363</v>
      </c>
      <c r="E868" s="2" t="s">
        <v>7</v>
      </c>
      <c r="F868" s="1" t="s">
        <v>46</v>
      </c>
      <c r="G868" s="70">
        <v>0.24825</v>
      </c>
      <c r="I868" s="101">
        <v>1.85849056603773</v>
      </c>
      <c r="L868" s="66"/>
    </row>
    <row r="869" spans="1:12" x14ac:dyDescent="0.2">
      <c r="A869" s="65">
        <v>110</v>
      </c>
      <c r="B869" s="66" t="s">
        <v>365</v>
      </c>
      <c r="C869" s="2" t="s">
        <v>7</v>
      </c>
      <c r="D869" s="1" t="s">
        <v>363</v>
      </c>
      <c r="E869" s="2" t="s">
        <v>7</v>
      </c>
      <c r="F869" s="1" t="s">
        <v>46</v>
      </c>
      <c r="G869" s="70">
        <v>2.4824999999999999</v>
      </c>
      <c r="I869" s="101">
        <v>3.1902515723270399</v>
      </c>
      <c r="L869" s="66"/>
    </row>
    <row r="870" spans="1:12" x14ac:dyDescent="0.2">
      <c r="A870" s="65">
        <v>110</v>
      </c>
      <c r="B870" s="66" t="s">
        <v>365</v>
      </c>
      <c r="C870" s="2" t="s">
        <v>7</v>
      </c>
      <c r="D870" s="1" t="s">
        <v>363</v>
      </c>
      <c r="E870" s="2" t="s">
        <v>7</v>
      </c>
      <c r="F870" s="1" t="s">
        <v>46</v>
      </c>
      <c r="G870" s="70">
        <v>24.824999999999999</v>
      </c>
      <c r="I870" s="101">
        <v>4.2028301886792399</v>
      </c>
      <c r="L870" s="66"/>
    </row>
    <row r="871" spans="1:12" x14ac:dyDescent="0.2">
      <c r="A871" s="65">
        <v>110</v>
      </c>
      <c r="B871" s="66" t="s">
        <v>365</v>
      </c>
      <c r="C871" s="2" t="s">
        <v>7</v>
      </c>
      <c r="D871" s="1" t="s">
        <v>363</v>
      </c>
      <c r="E871" s="2" t="s">
        <v>7</v>
      </c>
      <c r="F871" s="1" t="s">
        <v>46</v>
      </c>
      <c r="G871" s="70">
        <v>49.65</v>
      </c>
      <c r="I871" s="101">
        <v>1.49528301886792</v>
      </c>
      <c r="L871" s="66"/>
    </row>
    <row r="872" spans="1:12" x14ac:dyDescent="0.2">
      <c r="A872" s="65">
        <v>110</v>
      </c>
      <c r="B872" s="66" t="s">
        <v>365</v>
      </c>
      <c r="C872" s="2" t="s">
        <v>7</v>
      </c>
      <c r="D872" s="1" t="s">
        <v>363</v>
      </c>
      <c r="E872" s="2" t="s">
        <v>7</v>
      </c>
      <c r="F872" s="1" t="s">
        <v>46</v>
      </c>
      <c r="G872" s="70">
        <v>74.474999999999994</v>
      </c>
      <c r="I872" s="101">
        <v>0.96698113207547098</v>
      </c>
      <c r="L872" s="66"/>
    </row>
    <row r="873" spans="1:12" x14ac:dyDescent="0.2">
      <c r="A873" s="65">
        <v>110</v>
      </c>
      <c r="B873" s="66" t="s">
        <v>365</v>
      </c>
      <c r="C873" s="2" t="s">
        <v>7</v>
      </c>
      <c r="D873" s="1" t="s">
        <v>363</v>
      </c>
      <c r="E873" s="2" t="s">
        <v>7</v>
      </c>
      <c r="F873" s="1" t="s">
        <v>46</v>
      </c>
      <c r="G873" s="70">
        <v>99.3</v>
      </c>
      <c r="I873" s="101">
        <v>0.61477987421383695</v>
      </c>
    </row>
    <row r="874" spans="1:12" x14ac:dyDescent="0.2">
      <c r="A874" s="65">
        <v>110</v>
      </c>
      <c r="B874" s="66" t="s">
        <v>365</v>
      </c>
      <c r="C874" s="2" t="s">
        <v>7</v>
      </c>
      <c r="D874" s="1" t="s">
        <v>363</v>
      </c>
      <c r="E874" s="2" t="s">
        <v>7</v>
      </c>
      <c r="F874" s="1" t="s">
        <v>46</v>
      </c>
      <c r="G874" s="70">
        <v>124.125</v>
      </c>
      <c r="I874" s="101">
        <v>0.14150943396226301</v>
      </c>
    </row>
    <row r="875" spans="1:12" x14ac:dyDescent="0.2">
      <c r="A875" s="65">
        <v>110</v>
      </c>
      <c r="B875" s="66" t="s">
        <v>365</v>
      </c>
      <c r="C875" s="2" t="s">
        <v>7</v>
      </c>
      <c r="D875" s="1" t="s">
        <v>363</v>
      </c>
      <c r="E875" s="2" t="s">
        <v>7</v>
      </c>
      <c r="F875" s="1" t="s">
        <v>46</v>
      </c>
      <c r="G875" s="70">
        <v>148.94999999999999</v>
      </c>
      <c r="I875" s="101">
        <v>4.3960396039603904E-3</v>
      </c>
    </row>
    <row r="876" spans="1:12" x14ac:dyDescent="0.2">
      <c r="A876" s="65">
        <v>110</v>
      </c>
      <c r="B876" s="66" t="s">
        <v>366</v>
      </c>
      <c r="C876" s="2" t="s">
        <v>7</v>
      </c>
      <c r="D876" s="1" t="s">
        <v>363</v>
      </c>
      <c r="E876" s="2" t="s">
        <v>7</v>
      </c>
      <c r="F876" s="1" t="s">
        <v>46</v>
      </c>
      <c r="G876" s="70">
        <v>0</v>
      </c>
      <c r="I876" s="101">
        <v>1</v>
      </c>
    </row>
    <row r="877" spans="1:12" s="4" customFormat="1" x14ac:dyDescent="0.2">
      <c r="A877" s="65">
        <v>110</v>
      </c>
      <c r="B877" s="66" t="s">
        <v>366</v>
      </c>
      <c r="C877" s="2" t="s">
        <v>7</v>
      </c>
      <c r="D877" s="1" t="s">
        <v>363</v>
      </c>
      <c r="E877" s="2" t="s">
        <v>7</v>
      </c>
      <c r="F877" s="1" t="s">
        <v>46</v>
      </c>
      <c r="G877" s="70">
        <v>0.23945</v>
      </c>
      <c r="H877" s="3"/>
      <c r="I877" s="101">
        <v>1.8034591194968499</v>
      </c>
      <c r="K877" s="1"/>
      <c r="L877" s="1"/>
    </row>
    <row r="878" spans="1:12" s="4" customFormat="1" x14ac:dyDescent="0.2">
      <c r="A878" s="65">
        <v>110</v>
      </c>
      <c r="B878" s="66" t="s">
        <v>366</v>
      </c>
      <c r="C878" s="2" t="s">
        <v>7</v>
      </c>
      <c r="D878" s="1" t="s">
        <v>363</v>
      </c>
      <c r="E878" s="2" t="s">
        <v>7</v>
      </c>
      <c r="F878" s="1" t="s">
        <v>46</v>
      </c>
      <c r="G878" s="70">
        <v>2.3944999999999999</v>
      </c>
      <c r="H878" s="3"/>
      <c r="I878" s="101">
        <v>3.1792452830188598</v>
      </c>
      <c r="K878" s="1"/>
      <c r="L878" s="1"/>
    </row>
    <row r="879" spans="1:12" s="4" customFormat="1" x14ac:dyDescent="0.2">
      <c r="A879" s="65">
        <v>110</v>
      </c>
      <c r="B879" s="66" t="s">
        <v>366</v>
      </c>
      <c r="C879" s="2" t="s">
        <v>7</v>
      </c>
      <c r="D879" s="1" t="s">
        <v>363</v>
      </c>
      <c r="E879" s="2" t="s">
        <v>7</v>
      </c>
      <c r="F879" s="1" t="s">
        <v>46</v>
      </c>
      <c r="G879" s="70">
        <v>23.945</v>
      </c>
      <c r="H879" s="3"/>
      <c r="I879" s="101">
        <v>4.6320754716981103</v>
      </c>
      <c r="K879" s="1"/>
      <c r="L879" s="1"/>
    </row>
    <row r="880" spans="1:12" s="4" customFormat="1" x14ac:dyDescent="0.2">
      <c r="A880" s="65">
        <v>110</v>
      </c>
      <c r="B880" s="66" t="s">
        <v>366</v>
      </c>
      <c r="C880" s="2" t="s">
        <v>7</v>
      </c>
      <c r="D880" s="1" t="s">
        <v>363</v>
      </c>
      <c r="E880" s="2" t="s">
        <v>7</v>
      </c>
      <c r="F880" s="1" t="s">
        <v>46</v>
      </c>
      <c r="G880" s="70">
        <v>47.89</v>
      </c>
      <c r="H880" s="3"/>
      <c r="I880" s="101">
        <v>1.8254716981132</v>
      </c>
      <c r="K880" s="1"/>
      <c r="L880" s="1"/>
    </row>
    <row r="881" spans="1:12" s="4" customFormat="1" x14ac:dyDescent="0.2">
      <c r="A881" s="65">
        <v>110</v>
      </c>
      <c r="B881" s="66" t="s">
        <v>366</v>
      </c>
      <c r="C881" s="2" t="s">
        <v>7</v>
      </c>
      <c r="D881" s="1" t="s">
        <v>363</v>
      </c>
      <c r="E881" s="2" t="s">
        <v>7</v>
      </c>
      <c r="F881" s="1" t="s">
        <v>46</v>
      </c>
      <c r="G881" s="70">
        <v>71.834999999999994</v>
      </c>
      <c r="H881" s="3"/>
      <c r="I881" s="101">
        <v>1.3191823899371</v>
      </c>
      <c r="K881" s="1"/>
      <c r="L881" s="1"/>
    </row>
    <row r="882" spans="1:12" s="4" customFormat="1" x14ac:dyDescent="0.2">
      <c r="A882" s="65">
        <v>110</v>
      </c>
      <c r="B882" s="66" t="s">
        <v>366</v>
      </c>
      <c r="C882" s="2" t="s">
        <v>7</v>
      </c>
      <c r="D882" s="1" t="s">
        <v>363</v>
      </c>
      <c r="E882" s="2" t="s">
        <v>7</v>
      </c>
      <c r="F882" s="1" t="s">
        <v>46</v>
      </c>
      <c r="G882" s="70">
        <v>95.78</v>
      </c>
      <c r="H882" s="3"/>
      <c r="I882" s="101">
        <v>0.65880503144654001</v>
      </c>
      <c r="K882" s="1"/>
      <c r="L882" s="1"/>
    </row>
    <row r="883" spans="1:12" s="4" customFormat="1" x14ac:dyDescent="0.2">
      <c r="A883" s="65">
        <v>110</v>
      </c>
      <c r="B883" s="66" t="s">
        <v>366</v>
      </c>
      <c r="C883" s="2" t="s">
        <v>7</v>
      </c>
      <c r="D883" s="1" t="s">
        <v>363</v>
      </c>
      <c r="E883" s="2" t="s">
        <v>7</v>
      </c>
      <c r="F883" s="1" t="s">
        <v>46</v>
      </c>
      <c r="G883" s="70">
        <v>119.72499999999999</v>
      </c>
      <c r="H883" s="3"/>
      <c r="I883" s="101">
        <v>0.16352201257861501</v>
      </c>
      <c r="K883" s="1"/>
      <c r="L883" s="1"/>
    </row>
    <row r="884" spans="1:12" s="4" customFormat="1" x14ac:dyDescent="0.2">
      <c r="A884" s="65">
        <v>110</v>
      </c>
      <c r="B884" s="66" t="s">
        <v>366</v>
      </c>
      <c r="C884" s="2" t="s">
        <v>7</v>
      </c>
      <c r="D884" s="1" t="s">
        <v>363</v>
      </c>
      <c r="E884" s="2" t="s">
        <v>7</v>
      </c>
      <c r="F884" s="1" t="s">
        <v>46</v>
      </c>
      <c r="G884" s="70">
        <v>143.66999999999999</v>
      </c>
      <c r="H884" s="3"/>
      <c r="I884" s="101">
        <v>9.9999999999999995E-7</v>
      </c>
      <c r="K884" s="1"/>
      <c r="L884" s="1"/>
    </row>
    <row r="885" spans="1:12" s="4" customFormat="1" x14ac:dyDescent="0.2">
      <c r="A885" s="65">
        <v>110</v>
      </c>
      <c r="B885" s="66" t="s">
        <v>367</v>
      </c>
      <c r="C885" s="2" t="s">
        <v>7</v>
      </c>
      <c r="D885" s="1" t="s">
        <v>363</v>
      </c>
      <c r="E885" s="2" t="s">
        <v>7</v>
      </c>
      <c r="F885" s="1" t="s">
        <v>46</v>
      </c>
      <c r="G885" s="70">
        <v>0</v>
      </c>
      <c r="H885" s="3"/>
      <c r="I885" s="101">
        <v>1</v>
      </c>
      <c r="K885" s="1"/>
      <c r="L885" s="1"/>
    </row>
    <row r="886" spans="1:12" s="4" customFormat="1" x14ac:dyDescent="0.2">
      <c r="A886" s="65">
        <v>110</v>
      </c>
      <c r="B886" s="66" t="s">
        <v>367</v>
      </c>
      <c r="C886" s="2" t="s">
        <v>7</v>
      </c>
      <c r="D886" s="1" t="s">
        <v>363</v>
      </c>
      <c r="E886" s="2" t="s">
        <v>7</v>
      </c>
      <c r="F886" s="1" t="s">
        <v>46</v>
      </c>
      <c r="G886" s="70">
        <v>0.51295000000000013</v>
      </c>
      <c r="H886" s="3"/>
      <c r="I886" s="101">
        <v>1.46226415094339</v>
      </c>
      <c r="K886" s="1"/>
      <c r="L886" s="1"/>
    </row>
    <row r="887" spans="1:12" s="4" customFormat="1" x14ac:dyDescent="0.2">
      <c r="A887" s="65">
        <v>110</v>
      </c>
      <c r="B887" s="66" t="s">
        <v>367</v>
      </c>
      <c r="C887" s="2" t="s">
        <v>7</v>
      </c>
      <c r="D887" s="1" t="s">
        <v>363</v>
      </c>
      <c r="E887" s="2" t="s">
        <v>7</v>
      </c>
      <c r="F887" s="1" t="s">
        <v>46</v>
      </c>
      <c r="G887" s="70">
        <v>5.1295000000000002</v>
      </c>
      <c r="H887" s="3"/>
      <c r="I887" s="101">
        <v>2.4968553459119498</v>
      </c>
      <c r="K887" s="1"/>
      <c r="L887" s="1"/>
    </row>
    <row r="888" spans="1:12" s="4" customFormat="1" x14ac:dyDescent="0.2">
      <c r="A888" s="65">
        <v>110</v>
      </c>
      <c r="B888" s="66" t="s">
        <v>367</v>
      </c>
      <c r="C888" s="2" t="s">
        <v>7</v>
      </c>
      <c r="D888" s="1" t="s">
        <v>363</v>
      </c>
      <c r="E888" s="2" t="s">
        <v>7</v>
      </c>
      <c r="F888" s="1" t="s">
        <v>46</v>
      </c>
      <c r="G888" s="70">
        <v>51.295000000000009</v>
      </c>
      <c r="H888" s="3"/>
      <c r="I888" s="101">
        <v>4.1257861635220099</v>
      </c>
      <c r="K888" s="1"/>
      <c r="L888" s="1"/>
    </row>
    <row r="889" spans="1:12" s="4" customFormat="1" x14ac:dyDescent="0.2">
      <c r="A889" s="65">
        <v>110</v>
      </c>
      <c r="B889" s="66" t="s">
        <v>367</v>
      </c>
      <c r="C889" s="2" t="s">
        <v>7</v>
      </c>
      <c r="D889" s="1" t="s">
        <v>363</v>
      </c>
      <c r="E889" s="2" t="s">
        <v>7</v>
      </c>
      <c r="F889" s="1" t="s">
        <v>46</v>
      </c>
      <c r="G889" s="70">
        <v>102.59000000000002</v>
      </c>
      <c r="H889" s="3"/>
      <c r="I889" s="101">
        <v>3.1902515723270399</v>
      </c>
      <c r="K889" s="1"/>
      <c r="L889" s="1"/>
    </row>
    <row r="890" spans="1:12" s="4" customFormat="1" x14ac:dyDescent="0.2">
      <c r="A890" s="65">
        <v>110</v>
      </c>
      <c r="B890" s="66" t="s">
        <v>367</v>
      </c>
      <c r="C890" s="2" t="s">
        <v>7</v>
      </c>
      <c r="D890" s="1" t="s">
        <v>363</v>
      </c>
      <c r="E890" s="2" t="s">
        <v>7</v>
      </c>
      <c r="F890" s="1" t="s">
        <v>46</v>
      </c>
      <c r="G890" s="70">
        <v>153.88499999999999</v>
      </c>
      <c r="H890" s="3"/>
      <c r="I890" s="101">
        <v>1.3191823899371</v>
      </c>
      <c r="K890" s="1"/>
      <c r="L890" s="1"/>
    </row>
    <row r="891" spans="1:12" s="4" customFormat="1" x14ac:dyDescent="0.2">
      <c r="A891" s="65">
        <v>110</v>
      </c>
      <c r="B891" s="66" t="s">
        <v>367</v>
      </c>
      <c r="C891" s="2" t="s">
        <v>7</v>
      </c>
      <c r="D891" s="1" t="s">
        <v>363</v>
      </c>
      <c r="E891" s="2" t="s">
        <v>7</v>
      </c>
      <c r="F891" s="1" t="s">
        <v>46</v>
      </c>
      <c r="G891" s="70">
        <v>205.18000000000004</v>
      </c>
      <c r="H891" s="3"/>
      <c r="I891" s="101">
        <v>8.6477987421383906E-2</v>
      </c>
      <c r="K891" s="1"/>
      <c r="L891" s="1"/>
    </row>
    <row r="892" spans="1:12" s="4" customFormat="1" x14ac:dyDescent="0.2">
      <c r="A892" s="65">
        <v>110</v>
      </c>
      <c r="B892" s="66" t="s">
        <v>367</v>
      </c>
      <c r="C892" s="2" t="s">
        <v>7</v>
      </c>
      <c r="D892" s="1" t="s">
        <v>363</v>
      </c>
      <c r="E892" s="2" t="s">
        <v>7</v>
      </c>
      <c r="F892" s="1" t="s">
        <v>46</v>
      </c>
      <c r="G892" s="70">
        <v>256.47500000000002</v>
      </c>
      <c r="H892" s="3"/>
      <c r="I892" s="101">
        <v>2.1782178217821901E-3</v>
      </c>
      <c r="K892" s="1"/>
      <c r="L892" s="1"/>
    </row>
    <row r="893" spans="1:12" s="4" customFormat="1" x14ac:dyDescent="0.2">
      <c r="A893" s="65">
        <v>110</v>
      </c>
      <c r="B893" s="66" t="s">
        <v>367</v>
      </c>
      <c r="C893" s="2" t="s">
        <v>7</v>
      </c>
      <c r="D893" s="1" t="s">
        <v>363</v>
      </c>
      <c r="E893" s="2" t="s">
        <v>7</v>
      </c>
      <c r="F893" s="1" t="s">
        <v>46</v>
      </c>
      <c r="G893" s="70">
        <v>307.77</v>
      </c>
      <c r="H893" s="3"/>
      <c r="I893" s="101">
        <v>4.15841584158415E-3</v>
      </c>
      <c r="K893" s="1"/>
      <c r="L893" s="1"/>
    </row>
    <row r="894" spans="1:12" s="4" customFormat="1" x14ac:dyDescent="0.2">
      <c r="A894" s="65">
        <v>110</v>
      </c>
      <c r="B894" s="66" t="s">
        <v>397</v>
      </c>
      <c r="C894" s="2" t="s">
        <v>7</v>
      </c>
      <c r="D894" s="1" t="s">
        <v>363</v>
      </c>
      <c r="E894" s="2" t="s">
        <v>7</v>
      </c>
      <c r="F894" s="1" t="s">
        <v>46</v>
      </c>
      <c r="G894" s="70">
        <v>0</v>
      </c>
      <c r="H894" s="3"/>
      <c r="I894" s="101">
        <v>1</v>
      </c>
      <c r="K894" s="1"/>
      <c r="L894" s="1"/>
    </row>
    <row r="895" spans="1:12" s="4" customFormat="1" x14ac:dyDescent="0.2">
      <c r="A895" s="65">
        <v>110</v>
      </c>
      <c r="B895" s="66" t="s">
        <v>397</v>
      </c>
      <c r="C895" s="2" t="s">
        <v>7</v>
      </c>
      <c r="D895" s="1" t="s">
        <v>363</v>
      </c>
      <c r="E895" s="2" t="s">
        <v>7</v>
      </c>
      <c r="F895" s="1" t="s">
        <v>46</v>
      </c>
      <c r="G895" s="70">
        <v>0.22875000000000001</v>
      </c>
      <c r="H895" s="3"/>
      <c r="I895" s="101">
        <v>1.46226415094339</v>
      </c>
      <c r="K895" s="1"/>
      <c r="L895" s="1"/>
    </row>
    <row r="896" spans="1:12" s="4" customFormat="1" x14ac:dyDescent="0.2">
      <c r="A896" s="65">
        <v>110</v>
      </c>
      <c r="B896" s="66" t="s">
        <v>397</v>
      </c>
      <c r="C896" s="2" t="s">
        <v>7</v>
      </c>
      <c r="D896" s="1" t="s">
        <v>363</v>
      </c>
      <c r="E896" s="2" t="s">
        <v>7</v>
      </c>
      <c r="F896" s="1" t="s">
        <v>46</v>
      </c>
      <c r="G896" s="70">
        <v>2.2875000000000001</v>
      </c>
      <c r="H896" s="3"/>
      <c r="I896" s="101">
        <v>1.3411949685534501</v>
      </c>
      <c r="K896" s="1"/>
      <c r="L896" s="1"/>
    </row>
    <row r="897" spans="1:12" s="4" customFormat="1" x14ac:dyDescent="0.2">
      <c r="A897" s="65">
        <v>110</v>
      </c>
      <c r="B897" s="66" t="s">
        <v>397</v>
      </c>
      <c r="C897" s="2" t="s">
        <v>7</v>
      </c>
      <c r="D897" s="1" t="s">
        <v>363</v>
      </c>
      <c r="E897" s="2" t="s">
        <v>7</v>
      </c>
      <c r="F897" s="1" t="s">
        <v>46</v>
      </c>
      <c r="G897" s="70">
        <v>22.875</v>
      </c>
      <c r="H897" s="3"/>
      <c r="I897" s="101">
        <v>3.3113207547169798</v>
      </c>
      <c r="K897" s="1"/>
      <c r="L897" s="1"/>
    </row>
    <row r="898" spans="1:12" s="4" customFormat="1" x14ac:dyDescent="0.2">
      <c r="A898" s="65">
        <v>110</v>
      </c>
      <c r="B898" s="66" t="s">
        <v>397</v>
      </c>
      <c r="C898" s="2" t="s">
        <v>7</v>
      </c>
      <c r="D898" s="1" t="s">
        <v>363</v>
      </c>
      <c r="E898" s="2" t="s">
        <v>7</v>
      </c>
      <c r="F898" s="1" t="s">
        <v>46</v>
      </c>
      <c r="G898" s="70">
        <v>45.75</v>
      </c>
      <c r="H898" s="3"/>
      <c r="I898" s="101">
        <v>0.92295597484276604</v>
      </c>
      <c r="K898" s="1"/>
      <c r="L898" s="1"/>
    </row>
    <row r="899" spans="1:12" s="4" customFormat="1" x14ac:dyDescent="0.2">
      <c r="A899" s="65">
        <v>110</v>
      </c>
      <c r="B899" s="66" t="s">
        <v>397</v>
      </c>
      <c r="C899" s="2" t="s">
        <v>7</v>
      </c>
      <c r="D899" s="1" t="s">
        <v>363</v>
      </c>
      <c r="E899" s="2" t="s">
        <v>7</v>
      </c>
      <c r="F899" s="1" t="s">
        <v>46</v>
      </c>
      <c r="G899" s="70">
        <v>68.625</v>
      </c>
      <c r="H899" s="3"/>
      <c r="I899" s="101">
        <v>0.58176100628930705</v>
      </c>
      <c r="K899" s="1"/>
      <c r="L899" s="1"/>
    </row>
    <row r="900" spans="1:12" s="4" customFormat="1" x14ac:dyDescent="0.2">
      <c r="A900" s="65">
        <v>110</v>
      </c>
      <c r="B900" s="66" t="s">
        <v>397</v>
      </c>
      <c r="C900" s="2" t="s">
        <v>7</v>
      </c>
      <c r="D900" s="1" t="s">
        <v>363</v>
      </c>
      <c r="E900" s="2" t="s">
        <v>7</v>
      </c>
      <c r="F900" s="1" t="s">
        <v>46</v>
      </c>
      <c r="G900" s="70">
        <v>91.5</v>
      </c>
      <c r="H900" s="3"/>
      <c r="I900" s="101">
        <v>0.26257861635220098</v>
      </c>
      <c r="K900" s="1"/>
      <c r="L900" s="1"/>
    </row>
    <row r="901" spans="1:12" s="4" customFormat="1" x14ac:dyDescent="0.2">
      <c r="A901" s="65">
        <v>110</v>
      </c>
      <c r="B901" s="66" t="s">
        <v>397</v>
      </c>
      <c r="C901" s="2" t="s">
        <v>7</v>
      </c>
      <c r="D901" s="1" t="s">
        <v>363</v>
      </c>
      <c r="E901" s="2" t="s">
        <v>7</v>
      </c>
      <c r="F901" s="1" t="s">
        <v>46</v>
      </c>
      <c r="G901" s="70">
        <v>114.375</v>
      </c>
      <c r="H901" s="3"/>
      <c r="I901" s="101">
        <v>4.2452830188679E-2</v>
      </c>
      <c r="K901" s="1"/>
      <c r="L901" s="1"/>
    </row>
    <row r="902" spans="1:12" s="4" customFormat="1" x14ac:dyDescent="0.2">
      <c r="A902" s="65">
        <v>110</v>
      </c>
      <c r="B902" s="66" t="s">
        <v>397</v>
      </c>
      <c r="C902" s="2" t="s">
        <v>7</v>
      </c>
      <c r="D902" s="1" t="s">
        <v>363</v>
      </c>
      <c r="E902" s="2" t="s">
        <v>7</v>
      </c>
      <c r="F902" s="1" t="s">
        <v>46</v>
      </c>
      <c r="G902" s="70">
        <v>137.25</v>
      </c>
      <c r="H902" s="3"/>
      <c r="I902" s="101">
        <v>9.4339622641509396E-3</v>
      </c>
      <c r="K902" s="1"/>
      <c r="L902" s="1"/>
    </row>
    <row r="903" spans="1:12" s="4" customFormat="1" x14ac:dyDescent="0.2">
      <c r="A903" s="65">
        <v>110</v>
      </c>
      <c r="B903" s="66" t="s">
        <v>396</v>
      </c>
      <c r="C903" s="2" t="s">
        <v>7</v>
      </c>
      <c r="D903" s="1" t="s">
        <v>363</v>
      </c>
      <c r="E903" s="2" t="s">
        <v>7</v>
      </c>
      <c r="F903" s="1" t="s">
        <v>46</v>
      </c>
      <c r="G903" s="70">
        <v>0</v>
      </c>
      <c r="H903" s="3"/>
      <c r="I903" s="101">
        <v>0.98899371069182396</v>
      </c>
      <c r="K903" s="1"/>
      <c r="L903" s="1"/>
    </row>
    <row r="904" spans="1:12" s="4" customFormat="1" x14ac:dyDescent="0.2">
      <c r="A904" s="65">
        <v>110</v>
      </c>
      <c r="B904" s="66" t="s">
        <v>396</v>
      </c>
      <c r="C904" s="2" t="s">
        <v>7</v>
      </c>
      <c r="D904" s="1" t="s">
        <v>363</v>
      </c>
      <c r="E904" s="2" t="s">
        <v>7</v>
      </c>
      <c r="F904" s="1" t="s">
        <v>46</v>
      </c>
      <c r="G904" s="70">
        <v>0.23244999999999999</v>
      </c>
      <c r="H904" s="3"/>
      <c r="I904" s="101">
        <v>1.4072327044025099</v>
      </c>
      <c r="K904" s="1"/>
      <c r="L904" s="1"/>
    </row>
    <row r="905" spans="1:12" s="4" customFormat="1" x14ac:dyDescent="0.2">
      <c r="A905" s="65">
        <v>110</v>
      </c>
      <c r="B905" s="66" t="s">
        <v>396</v>
      </c>
      <c r="C905" s="2" t="s">
        <v>7</v>
      </c>
      <c r="D905" s="1" t="s">
        <v>363</v>
      </c>
      <c r="E905" s="2" t="s">
        <v>7</v>
      </c>
      <c r="F905" s="1" t="s">
        <v>46</v>
      </c>
      <c r="G905" s="70">
        <v>2.3245</v>
      </c>
      <c r="H905" s="3"/>
      <c r="I905" s="101">
        <v>1.4182389937106901</v>
      </c>
      <c r="K905" s="1"/>
      <c r="L905" s="1"/>
    </row>
    <row r="906" spans="1:12" s="4" customFormat="1" x14ac:dyDescent="0.2">
      <c r="A906" s="65">
        <v>110</v>
      </c>
      <c r="B906" s="66" t="s">
        <v>396</v>
      </c>
      <c r="C906" s="2" t="s">
        <v>7</v>
      </c>
      <c r="D906" s="1" t="s">
        <v>363</v>
      </c>
      <c r="E906" s="2" t="s">
        <v>7</v>
      </c>
      <c r="F906" s="1" t="s">
        <v>46</v>
      </c>
      <c r="G906" s="70">
        <v>23.244999999999997</v>
      </c>
      <c r="H906" s="3"/>
      <c r="I906" s="101">
        <v>3.64150943396226</v>
      </c>
      <c r="K906" s="1"/>
      <c r="L906" s="1"/>
    </row>
    <row r="907" spans="1:12" s="4" customFormat="1" x14ac:dyDescent="0.2">
      <c r="A907" s="65">
        <v>110</v>
      </c>
      <c r="B907" s="66" t="s">
        <v>396</v>
      </c>
      <c r="C907" s="2" t="s">
        <v>7</v>
      </c>
      <c r="D907" s="1" t="s">
        <v>363</v>
      </c>
      <c r="E907" s="2" t="s">
        <v>7</v>
      </c>
      <c r="F907" s="1" t="s">
        <v>46</v>
      </c>
      <c r="G907" s="70">
        <v>46.489999999999995</v>
      </c>
      <c r="H907" s="3"/>
      <c r="I907" s="101">
        <v>0.96698113207547098</v>
      </c>
      <c r="K907" s="1"/>
      <c r="L907" s="1"/>
    </row>
    <row r="908" spans="1:12" s="4" customFormat="1" x14ac:dyDescent="0.2">
      <c r="A908" s="65">
        <v>110</v>
      </c>
      <c r="B908" s="66" t="s">
        <v>396</v>
      </c>
      <c r="C908" s="2" t="s">
        <v>7</v>
      </c>
      <c r="D908" s="1" t="s">
        <v>363</v>
      </c>
      <c r="E908" s="2" t="s">
        <v>7</v>
      </c>
      <c r="F908" s="1" t="s">
        <v>46</v>
      </c>
      <c r="G908" s="70">
        <v>69.734999999999999</v>
      </c>
      <c r="H908" s="3"/>
      <c r="I908" s="101">
        <v>0.74685534591194902</v>
      </c>
      <c r="K908" s="1"/>
      <c r="L908" s="1"/>
    </row>
    <row r="909" spans="1:12" s="4" customFormat="1" x14ac:dyDescent="0.2">
      <c r="A909" s="65">
        <v>110</v>
      </c>
      <c r="B909" s="66" t="s">
        <v>396</v>
      </c>
      <c r="C909" s="2" t="s">
        <v>7</v>
      </c>
      <c r="D909" s="1" t="s">
        <v>363</v>
      </c>
      <c r="E909" s="2" t="s">
        <v>7</v>
      </c>
      <c r="F909" s="1" t="s">
        <v>46</v>
      </c>
      <c r="G909" s="70">
        <v>92.97999999999999</v>
      </c>
      <c r="H909" s="3"/>
      <c r="I909" s="101">
        <v>0.36163522012578603</v>
      </c>
      <c r="K909" s="1"/>
      <c r="L909" s="1"/>
    </row>
    <row r="910" spans="1:12" s="4" customFormat="1" x14ac:dyDescent="0.2">
      <c r="A910" s="65">
        <v>110</v>
      </c>
      <c r="B910" s="66" t="s">
        <v>396</v>
      </c>
      <c r="C910" s="2" t="s">
        <v>7</v>
      </c>
      <c r="D910" s="1" t="s">
        <v>363</v>
      </c>
      <c r="E910" s="2" t="s">
        <v>7</v>
      </c>
      <c r="F910" s="1" t="s">
        <v>46</v>
      </c>
      <c r="G910" s="70">
        <v>116.22499999999999</v>
      </c>
      <c r="H910" s="3"/>
      <c r="I910" s="101">
        <v>9.7484276729560199E-2</v>
      </c>
      <c r="K910" s="1"/>
      <c r="L910" s="1"/>
    </row>
    <row r="911" spans="1:12" s="4" customFormat="1" x14ac:dyDescent="0.2">
      <c r="A911" s="65">
        <v>110</v>
      </c>
      <c r="B911" s="66" t="s">
        <v>396</v>
      </c>
      <c r="C911" s="2" t="s">
        <v>7</v>
      </c>
      <c r="D911" s="1" t="s">
        <v>363</v>
      </c>
      <c r="E911" s="2" t="s">
        <v>7</v>
      </c>
      <c r="F911" s="1" t="s">
        <v>46</v>
      </c>
      <c r="G911" s="70">
        <v>139.47</v>
      </c>
      <c r="H911" s="3"/>
      <c r="I911" s="101">
        <v>2.6930693069306998E-3</v>
      </c>
      <c r="K911" s="1"/>
      <c r="L911" s="1"/>
    </row>
    <row r="912" spans="1:12" s="4" customFormat="1" x14ac:dyDescent="0.2">
      <c r="A912" s="65">
        <v>110</v>
      </c>
      <c r="B912" s="66" t="s">
        <v>395</v>
      </c>
      <c r="C912" s="2" t="s">
        <v>7</v>
      </c>
      <c r="D912" s="1" t="s">
        <v>363</v>
      </c>
      <c r="E912" s="2" t="s">
        <v>7</v>
      </c>
      <c r="F912" s="1" t="s">
        <v>46</v>
      </c>
      <c r="G912" s="70">
        <v>0</v>
      </c>
      <c r="H912" s="3"/>
      <c r="I912" s="101">
        <v>0.98899371069182396</v>
      </c>
      <c r="K912" s="1"/>
      <c r="L912" s="1"/>
    </row>
    <row r="913" spans="1:12" s="4" customFormat="1" x14ac:dyDescent="0.2">
      <c r="A913" s="65">
        <v>110</v>
      </c>
      <c r="B913" s="66" t="s">
        <v>395</v>
      </c>
      <c r="C913" s="2" t="s">
        <v>7</v>
      </c>
      <c r="D913" s="1" t="s">
        <v>363</v>
      </c>
      <c r="E913" s="2" t="s">
        <v>7</v>
      </c>
      <c r="F913" s="1" t="s">
        <v>46</v>
      </c>
      <c r="G913" s="70">
        <v>0.27829999999999999</v>
      </c>
      <c r="H913" s="3"/>
      <c r="I913" s="101">
        <v>1.4402515723270399</v>
      </c>
      <c r="K913" s="1"/>
      <c r="L913" s="1"/>
    </row>
    <row r="914" spans="1:12" s="4" customFormat="1" x14ac:dyDescent="0.2">
      <c r="A914" s="65">
        <v>110</v>
      </c>
      <c r="B914" s="66" t="s">
        <v>395</v>
      </c>
      <c r="C914" s="2" t="s">
        <v>7</v>
      </c>
      <c r="D914" s="1" t="s">
        <v>363</v>
      </c>
      <c r="E914" s="2" t="s">
        <v>7</v>
      </c>
      <c r="F914" s="1" t="s">
        <v>46</v>
      </c>
      <c r="G914" s="70">
        <v>2.7829999999999999</v>
      </c>
      <c r="H914" s="3"/>
      <c r="I914" s="101">
        <v>1.5062893081761</v>
      </c>
      <c r="K914" s="1"/>
      <c r="L914" s="1"/>
    </row>
    <row r="915" spans="1:12" s="4" customFormat="1" x14ac:dyDescent="0.2">
      <c r="A915" s="65">
        <v>110</v>
      </c>
      <c r="B915" s="66" t="s">
        <v>395</v>
      </c>
      <c r="C915" s="2" t="s">
        <v>7</v>
      </c>
      <c r="D915" s="1" t="s">
        <v>363</v>
      </c>
      <c r="E915" s="2" t="s">
        <v>7</v>
      </c>
      <c r="F915" s="1" t="s">
        <v>46</v>
      </c>
      <c r="G915" s="70">
        <v>27.830000000000002</v>
      </c>
      <c r="H915" s="3"/>
      <c r="I915" s="101">
        <v>2.3427672955974801</v>
      </c>
      <c r="K915" s="1"/>
      <c r="L915" s="1"/>
    </row>
    <row r="916" spans="1:12" s="4" customFormat="1" x14ac:dyDescent="0.2">
      <c r="A916" s="65">
        <v>110</v>
      </c>
      <c r="B916" s="66" t="s">
        <v>395</v>
      </c>
      <c r="C916" s="2" t="s">
        <v>7</v>
      </c>
      <c r="D916" s="1" t="s">
        <v>363</v>
      </c>
      <c r="E916" s="2" t="s">
        <v>7</v>
      </c>
      <c r="F916" s="1" t="s">
        <v>46</v>
      </c>
      <c r="G916" s="70">
        <v>55.660000000000004</v>
      </c>
      <c r="H916" s="3"/>
      <c r="I916" s="101">
        <v>2.5188679245282999</v>
      </c>
      <c r="K916" s="1"/>
      <c r="L916" s="1"/>
    </row>
    <row r="917" spans="1:12" s="4" customFormat="1" x14ac:dyDescent="0.2">
      <c r="A917" s="65">
        <v>110</v>
      </c>
      <c r="B917" s="66" t="s">
        <v>395</v>
      </c>
      <c r="C917" s="2" t="s">
        <v>7</v>
      </c>
      <c r="D917" s="1" t="s">
        <v>363</v>
      </c>
      <c r="E917" s="2" t="s">
        <v>7</v>
      </c>
      <c r="F917" s="1" t="s">
        <v>46</v>
      </c>
      <c r="G917" s="70">
        <v>83.49</v>
      </c>
      <c r="H917" s="3"/>
      <c r="I917" s="101">
        <v>1.8034591194968499</v>
      </c>
      <c r="K917" s="1"/>
      <c r="L917" s="1"/>
    </row>
    <row r="918" spans="1:12" s="4" customFormat="1" x14ac:dyDescent="0.2">
      <c r="A918" s="65">
        <v>110</v>
      </c>
      <c r="B918" s="66" t="s">
        <v>395</v>
      </c>
      <c r="C918" s="2" t="s">
        <v>7</v>
      </c>
      <c r="D918" s="1" t="s">
        <v>363</v>
      </c>
      <c r="E918" s="2" t="s">
        <v>7</v>
      </c>
      <c r="F918" s="1" t="s">
        <v>46</v>
      </c>
      <c r="G918" s="70">
        <v>111.32000000000001</v>
      </c>
      <c r="H918" s="3"/>
      <c r="I918" s="101">
        <v>0.79088050314465397</v>
      </c>
      <c r="K918" s="1"/>
      <c r="L918" s="1"/>
    </row>
    <row r="919" spans="1:12" s="4" customFormat="1" x14ac:dyDescent="0.2">
      <c r="A919" s="65">
        <v>110</v>
      </c>
      <c r="B919" s="66" t="s">
        <v>395</v>
      </c>
      <c r="C919" s="2" t="s">
        <v>7</v>
      </c>
      <c r="D919" s="1" t="s">
        <v>363</v>
      </c>
      <c r="E919" s="2" t="s">
        <v>7</v>
      </c>
      <c r="F919" s="1" t="s">
        <v>46</v>
      </c>
      <c r="G919" s="70">
        <v>139.15</v>
      </c>
      <c r="H919" s="3"/>
      <c r="I919" s="101">
        <v>0.25157232704402499</v>
      </c>
      <c r="K919" s="1"/>
      <c r="L919" s="1"/>
    </row>
    <row r="920" spans="1:12" s="4" customFormat="1" x14ac:dyDescent="0.2">
      <c r="A920" s="65">
        <v>110</v>
      </c>
      <c r="B920" s="66" t="s">
        <v>395</v>
      </c>
      <c r="C920" s="2" t="s">
        <v>7</v>
      </c>
      <c r="D920" s="1" t="s">
        <v>363</v>
      </c>
      <c r="E920" s="2" t="s">
        <v>7</v>
      </c>
      <c r="F920" s="1" t="s">
        <v>46</v>
      </c>
      <c r="G920" s="70">
        <v>166.98</v>
      </c>
      <c r="H920" s="3"/>
      <c r="I920" s="101">
        <v>9.4339622641509396E-3</v>
      </c>
      <c r="K920" s="1"/>
      <c r="L920" s="1"/>
    </row>
    <row r="921" spans="1:12" s="4" customFormat="1" x14ac:dyDescent="0.2">
      <c r="A921" s="65">
        <v>110</v>
      </c>
      <c r="B921" s="66" t="s">
        <v>394</v>
      </c>
      <c r="C921" s="2" t="s">
        <v>7</v>
      </c>
      <c r="D921" s="1" t="s">
        <v>363</v>
      </c>
      <c r="E921" s="2" t="s">
        <v>7</v>
      </c>
      <c r="F921" s="1" t="s">
        <v>46</v>
      </c>
      <c r="G921" s="70">
        <v>0</v>
      </c>
      <c r="H921" s="3"/>
      <c r="I921" s="101">
        <v>1</v>
      </c>
      <c r="K921" s="1"/>
      <c r="L921" s="1"/>
    </row>
    <row r="922" spans="1:12" s="4" customFormat="1" x14ac:dyDescent="0.2">
      <c r="A922" s="65">
        <v>110</v>
      </c>
      <c r="B922" s="66" t="s">
        <v>394</v>
      </c>
      <c r="C922" s="2" t="s">
        <v>7</v>
      </c>
      <c r="D922" s="1" t="s">
        <v>363</v>
      </c>
      <c r="E922" s="2" t="s">
        <v>7</v>
      </c>
      <c r="F922" s="1" t="s">
        <v>46</v>
      </c>
      <c r="G922" s="70">
        <v>0.2928</v>
      </c>
      <c r="H922" s="3"/>
      <c r="I922" s="101">
        <v>1.3411949685534501</v>
      </c>
      <c r="K922" s="1"/>
      <c r="L922" s="1"/>
    </row>
    <row r="923" spans="1:12" s="4" customFormat="1" x14ac:dyDescent="0.2">
      <c r="A923" s="65">
        <v>110</v>
      </c>
      <c r="B923" s="66" t="s">
        <v>394</v>
      </c>
      <c r="C923" s="2" t="s">
        <v>7</v>
      </c>
      <c r="D923" s="1" t="s">
        <v>363</v>
      </c>
      <c r="E923" s="2" t="s">
        <v>7</v>
      </c>
      <c r="F923" s="1" t="s">
        <v>46</v>
      </c>
      <c r="G923" s="70">
        <v>2.9279999999999999</v>
      </c>
      <c r="H923" s="3"/>
      <c r="I923" s="101">
        <v>1.3191823899371</v>
      </c>
      <c r="K923" s="1"/>
      <c r="L923" s="1"/>
    </row>
    <row r="924" spans="1:12" s="4" customFormat="1" x14ac:dyDescent="0.2">
      <c r="A924" s="65">
        <v>110</v>
      </c>
      <c r="B924" s="66" t="s">
        <v>394</v>
      </c>
      <c r="C924" s="2" t="s">
        <v>7</v>
      </c>
      <c r="D924" s="1" t="s">
        <v>363</v>
      </c>
      <c r="E924" s="2" t="s">
        <v>7</v>
      </c>
      <c r="F924" s="1" t="s">
        <v>46</v>
      </c>
      <c r="G924" s="70">
        <v>29.28</v>
      </c>
      <c r="H924" s="3"/>
      <c r="I924" s="101">
        <v>2.0125786163521999</v>
      </c>
      <c r="K924" s="1"/>
      <c r="L924" s="1"/>
    </row>
    <row r="925" spans="1:12" s="4" customFormat="1" x14ac:dyDescent="0.2">
      <c r="A925" s="65">
        <v>110</v>
      </c>
      <c r="B925" s="66" t="s">
        <v>394</v>
      </c>
      <c r="C925" s="2" t="s">
        <v>7</v>
      </c>
      <c r="D925" s="1" t="s">
        <v>363</v>
      </c>
      <c r="E925" s="2" t="s">
        <v>7</v>
      </c>
      <c r="F925" s="1" t="s">
        <v>46</v>
      </c>
      <c r="G925" s="70">
        <v>58.56</v>
      </c>
      <c r="H925" s="3"/>
      <c r="I925" s="101">
        <v>2.5188679245282999</v>
      </c>
      <c r="K925" s="1"/>
      <c r="L925" s="1"/>
    </row>
    <row r="926" spans="1:12" s="4" customFormat="1" x14ac:dyDescent="0.2">
      <c r="A926" s="65">
        <v>110</v>
      </c>
      <c r="B926" s="66" t="s">
        <v>394</v>
      </c>
      <c r="C926" s="2" t="s">
        <v>7</v>
      </c>
      <c r="D926" s="1" t="s">
        <v>363</v>
      </c>
      <c r="E926" s="2" t="s">
        <v>7</v>
      </c>
      <c r="F926" s="1" t="s">
        <v>46</v>
      </c>
      <c r="G926" s="70">
        <v>87.84</v>
      </c>
      <c r="H926" s="3"/>
      <c r="I926" s="101">
        <v>1.2421383647798701</v>
      </c>
      <c r="K926" s="1"/>
      <c r="L926" s="1"/>
    </row>
    <row r="927" spans="1:12" s="4" customFormat="1" x14ac:dyDescent="0.2">
      <c r="A927" s="65">
        <v>110</v>
      </c>
      <c r="B927" s="66" t="s">
        <v>394</v>
      </c>
      <c r="C927" s="2" t="s">
        <v>7</v>
      </c>
      <c r="D927" s="1" t="s">
        <v>363</v>
      </c>
      <c r="E927" s="2" t="s">
        <v>7</v>
      </c>
      <c r="F927" s="1" t="s">
        <v>46</v>
      </c>
      <c r="G927" s="70">
        <v>117.12</v>
      </c>
      <c r="H927" s="3"/>
      <c r="I927" s="101">
        <v>0.60377358490566002</v>
      </c>
      <c r="K927" s="1"/>
      <c r="L927" s="1"/>
    </row>
    <row r="928" spans="1:12" s="4" customFormat="1" x14ac:dyDescent="0.2">
      <c r="A928" s="65">
        <v>110</v>
      </c>
      <c r="B928" s="66" t="s">
        <v>394</v>
      </c>
      <c r="C928" s="2" t="s">
        <v>7</v>
      </c>
      <c r="D928" s="1" t="s">
        <v>363</v>
      </c>
      <c r="E928" s="2" t="s">
        <v>7</v>
      </c>
      <c r="F928" s="1" t="s">
        <v>46</v>
      </c>
      <c r="G928" s="70">
        <v>146.4</v>
      </c>
      <c r="H928" s="3"/>
      <c r="I928" s="101">
        <v>5.3459119496855501E-2</v>
      </c>
      <c r="K928" s="1"/>
      <c r="L928" s="1"/>
    </row>
    <row r="929" spans="1:12" s="4" customFormat="1" x14ac:dyDescent="0.2">
      <c r="A929" s="65">
        <v>110</v>
      </c>
      <c r="B929" s="66" t="s">
        <v>394</v>
      </c>
      <c r="C929" s="2" t="s">
        <v>7</v>
      </c>
      <c r="D929" s="1" t="s">
        <v>363</v>
      </c>
      <c r="E929" s="2" t="s">
        <v>7</v>
      </c>
      <c r="F929" s="1" t="s">
        <v>46</v>
      </c>
      <c r="G929" s="70">
        <v>175.68</v>
      </c>
      <c r="H929" s="3"/>
      <c r="I929" s="101">
        <v>9.4339622641509396E-3</v>
      </c>
      <c r="K929" s="1"/>
      <c r="L929" s="1"/>
    </row>
    <row r="930" spans="1:12" s="4" customFormat="1" x14ac:dyDescent="0.2">
      <c r="A930" s="65">
        <v>112</v>
      </c>
      <c r="B930" s="66" t="s">
        <v>71</v>
      </c>
      <c r="C930" s="2" t="s">
        <v>7</v>
      </c>
      <c r="D930" s="1" t="s">
        <v>20</v>
      </c>
      <c r="E930" s="2" t="s">
        <v>379</v>
      </c>
      <c r="F930" s="1"/>
      <c r="G930" s="70">
        <v>0</v>
      </c>
      <c r="H930" s="3">
        <v>2.10286458333333E-4</v>
      </c>
      <c r="I930" s="101">
        <f>H930/$H$930</f>
        <v>1</v>
      </c>
      <c r="K930" s="1"/>
      <c r="L930" s="1"/>
    </row>
    <row r="931" spans="1:12" s="4" customFormat="1" x14ac:dyDescent="0.2">
      <c r="A931" s="65">
        <v>112</v>
      </c>
      <c r="B931" s="66" t="s">
        <v>71</v>
      </c>
      <c r="C931" s="2" t="s">
        <v>7</v>
      </c>
      <c r="D931" s="1" t="s">
        <v>20</v>
      </c>
      <c r="E931" s="2" t="s">
        <v>379</v>
      </c>
      <c r="F931" s="1"/>
      <c r="G931" s="70">
        <v>0.01</v>
      </c>
      <c r="H931" s="3">
        <v>2.4934895833333298E-4</v>
      </c>
      <c r="I931" s="101">
        <f t="shared" ref="I931:I939" si="18">H931/$H$930</f>
        <v>1.1857585139318887</v>
      </c>
      <c r="K931" s="1"/>
      <c r="L931" s="1"/>
    </row>
    <row r="932" spans="1:12" s="4" customFormat="1" x14ac:dyDescent="0.2">
      <c r="A932" s="65">
        <v>112</v>
      </c>
      <c r="B932" s="66" t="s">
        <v>71</v>
      </c>
      <c r="C932" s="2" t="s">
        <v>7</v>
      </c>
      <c r="D932" s="1" t="s">
        <v>20</v>
      </c>
      <c r="E932" s="2" t="s">
        <v>379</v>
      </c>
      <c r="F932" s="1"/>
      <c r="G932" s="70">
        <v>0.1</v>
      </c>
      <c r="H932" s="3">
        <v>3.4700520833333301E-4</v>
      </c>
      <c r="I932" s="101">
        <f t="shared" si="18"/>
        <v>1.650154798761611</v>
      </c>
      <c r="K932" s="1"/>
      <c r="L932" s="1"/>
    </row>
    <row r="933" spans="1:12" s="4" customFormat="1" x14ac:dyDescent="0.2">
      <c r="A933" s="65">
        <v>112</v>
      </c>
      <c r="B933" s="66" t="s">
        <v>71</v>
      </c>
      <c r="C933" s="2" t="s">
        <v>7</v>
      </c>
      <c r="D933" s="1" t="s">
        <v>20</v>
      </c>
      <c r="E933" s="2" t="s">
        <v>379</v>
      </c>
      <c r="F933" s="1"/>
      <c r="G933" s="70">
        <v>1</v>
      </c>
      <c r="H933" s="3">
        <v>1.2259114583333299E-3</v>
      </c>
      <c r="I933" s="101">
        <f t="shared" si="18"/>
        <v>5.8297213622290958</v>
      </c>
      <c r="K933" s="1"/>
      <c r="L933" s="1"/>
    </row>
    <row r="934" spans="1:12" s="4" customFormat="1" x14ac:dyDescent="0.2">
      <c r="A934" s="65">
        <v>112</v>
      </c>
      <c r="B934" s="66" t="s">
        <v>71</v>
      </c>
      <c r="C934" s="2" t="s">
        <v>7</v>
      </c>
      <c r="D934" s="1" t="s">
        <v>20</v>
      </c>
      <c r="E934" s="2" t="s">
        <v>379</v>
      </c>
      <c r="F934" s="1"/>
      <c r="G934" s="70">
        <v>10</v>
      </c>
      <c r="H934" s="3">
        <v>1.720703125E-3</v>
      </c>
      <c r="I934" s="101">
        <f t="shared" si="18"/>
        <v>8.1826625386997041</v>
      </c>
      <c r="K934" s="1"/>
      <c r="L934" s="1"/>
    </row>
    <row r="935" spans="1:12" s="4" customFormat="1" x14ac:dyDescent="0.2">
      <c r="A935" s="65">
        <v>112</v>
      </c>
      <c r="B935" s="66" t="s">
        <v>71</v>
      </c>
      <c r="C935" s="2" t="s">
        <v>7</v>
      </c>
      <c r="D935" s="1" t="s">
        <v>20</v>
      </c>
      <c r="E935" s="2" t="s">
        <v>379</v>
      </c>
      <c r="F935" s="1"/>
      <c r="G935" s="70">
        <v>100</v>
      </c>
      <c r="H935" s="3">
        <v>2.06901041666666E-3</v>
      </c>
      <c r="I935" s="101">
        <f t="shared" si="18"/>
        <v>9.8390092879256805</v>
      </c>
      <c r="K935" s="1"/>
      <c r="L935" s="1"/>
    </row>
    <row r="936" spans="1:12" s="4" customFormat="1" x14ac:dyDescent="0.2">
      <c r="A936" s="65">
        <v>112</v>
      </c>
      <c r="B936" s="66" t="s">
        <v>71</v>
      </c>
      <c r="C936" s="2" t="s">
        <v>7</v>
      </c>
      <c r="D936" s="1" t="s">
        <v>20</v>
      </c>
      <c r="E936" s="2" t="s">
        <v>379</v>
      </c>
      <c r="F936" s="1"/>
      <c r="G936" s="70">
        <v>1000</v>
      </c>
      <c r="H936" s="3">
        <v>2.7688802083333298E-3</v>
      </c>
      <c r="I936" s="101">
        <f t="shared" si="18"/>
        <v>13.167182662538703</v>
      </c>
      <c r="K936" s="1"/>
      <c r="L936" s="1"/>
    </row>
    <row r="937" spans="1:12" s="4" customFormat="1" x14ac:dyDescent="0.2">
      <c r="A937" s="65">
        <v>112</v>
      </c>
      <c r="B937" s="66" t="s">
        <v>71</v>
      </c>
      <c r="C937" s="2" t="s">
        <v>7</v>
      </c>
      <c r="D937" s="1" t="s">
        <v>20</v>
      </c>
      <c r="E937" s="2" t="s">
        <v>379</v>
      </c>
      <c r="F937" s="1"/>
      <c r="G937" s="70">
        <v>2500</v>
      </c>
      <c r="H937" s="3">
        <v>2.4661458333333302E-3</v>
      </c>
      <c r="I937" s="101">
        <f t="shared" si="18"/>
        <v>11.727554179566567</v>
      </c>
      <c r="K937" s="1"/>
      <c r="L937" s="1"/>
    </row>
    <row r="938" spans="1:12" s="4" customFormat="1" x14ac:dyDescent="0.2">
      <c r="A938" s="65">
        <v>112</v>
      </c>
      <c r="B938" s="66" t="s">
        <v>71</v>
      </c>
      <c r="C938" s="2" t="s">
        <v>7</v>
      </c>
      <c r="D938" s="1" t="s">
        <v>20</v>
      </c>
      <c r="E938" s="2" t="s">
        <v>379</v>
      </c>
      <c r="F938" s="1"/>
      <c r="G938" s="70">
        <v>5000</v>
      </c>
      <c r="H938" s="3">
        <v>2.1113281249999999E-3</v>
      </c>
      <c r="I938" s="101">
        <f t="shared" si="18"/>
        <v>10.040247678018591</v>
      </c>
      <c r="K938" s="1"/>
      <c r="L938" s="1"/>
    </row>
    <row r="939" spans="1:12" s="4" customFormat="1" x14ac:dyDescent="0.2">
      <c r="A939" s="65">
        <v>112</v>
      </c>
      <c r="B939" s="66" t="s">
        <v>71</v>
      </c>
      <c r="C939" s="2" t="s">
        <v>7</v>
      </c>
      <c r="D939" s="1" t="s">
        <v>20</v>
      </c>
      <c r="E939" s="2" t="s">
        <v>379</v>
      </c>
      <c r="F939" s="1"/>
      <c r="G939" s="70">
        <v>10000</v>
      </c>
      <c r="H939" s="3">
        <v>1.0240885416666599E-3</v>
      </c>
      <c r="I939" s="101">
        <f t="shared" si="18"/>
        <v>4.8699690402476534</v>
      </c>
      <c r="K939" s="1"/>
      <c r="L939" s="1"/>
    </row>
    <row r="940" spans="1:12" s="4" customFormat="1" x14ac:dyDescent="0.2">
      <c r="A940" s="65">
        <v>112</v>
      </c>
      <c r="B940" s="66" t="s">
        <v>393</v>
      </c>
      <c r="C940" s="2" t="s">
        <v>7</v>
      </c>
      <c r="D940" s="1" t="s">
        <v>20</v>
      </c>
      <c r="E940" s="2" t="s">
        <v>379</v>
      </c>
      <c r="F940" s="1"/>
      <c r="G940" s="70">
        <v>0</v>
      </c>
      <c r="H940" s="3">
        <v>2.10286458333333E-4</v>
      </c>
      <c r="I940" s="101">
        <f>H940/$H$940</f>
        <v>1</v>
      </c>
      <c r="K940" s="1"/>
      <c r="L940" s="1"/>
    </row>
    <row r="941" spans="1:12" s="4" customFormat="1" x14ac:dyDescent="0.2">
      <c r="A941" s="65">
        <v>112</v>
      </c>
      <c r="B941" s="66" t="s">
        <v>393</v>
      </c>
      <c r="C941" s="2" t="s">
        <v>7</v>
      </c>
      <c r="D941" s="1" t="s">
        <v>20</v>
      </c>
      <c r="E941" s="2" t="s">
        <v>379</v>
      </c>
      <c r="F941" s="1"/>
      <c r="G941" s="70">
        <v>0.01</v>
      </c>
      <c r="H941" s="3">
        <v>2.13541666666667E-4</v>
      </c>
      <c r="I941" s="101">
        <f t="shared" ref="I941:I949" si="19">H941/$H$940</f>
        <v>1.015479876160994</v>
      </c>
      <c r="K941" s="1"/>
      <c r="L941" s="1"/>
    </row>
    <row r="942" spans="1:12" s="4" customFormat="1" x14ac:dyDescent="0.2">
      <c r="A942" s="65">
        <v>112</v>
      </c>
      <c r="B942" s="66" t="s">
        <v>393</v>
      </c>
      <c r="C942" s="2" t="s">
        <v>7</v>
      </c>
      <c r="D942" s="1" t="s">
        <v>20</v>
      </c>
      <c r="E942" s="2" t="s">
        <v>379</v>
      </c>
      <c r="F942" s="1"/>
      <c r="G942" s="70">
        <v>0.1</v>
      </c>
      <c r="H942" s="3">
        <v>4.3489583333333298E-4</v>
      </c>
      <c r="I942" s="101">
        <f t="shared" si="19"/>
        <v>2.0681114551083608</v>
      </c>
      <c r="K942" s="1"/>
      <c r="L942" s="1"/>
    </row>
    <row r="943" spans="1:12" s="4" customFormat="1" x14ac:dyDescent="0.2">
      <c r="A943" s="65">
        <v>112</v>
      </c>
      <c r="B943" s="66" t="s">
        <v>393</v>
      </c>
      <c r="C943" s="2" t="s">
        <v>7</v>
      </c>
      <c r="D943" s="1" t="s">
        <v>20</v>
      </c>
      <c r="E943" s="2" t="s">
        <v>379</v>
      </c>
      <c r="F943" s="1"/>
      <c r="G943" s="70">
        <v>1</v>
      </c>
      <c r="H943" s="3">
        <v>5.5208333333333303E-4</v>
      </c>
      <c r="I943" s="101">
        <f t="shared" si="19"/>
        <v>2.6253869969040275</v>
      </c>
      <c r="K943" s="1"/>
      <c r="L943" s="1"/>
    </row>
    <row r="944" spans="1:12" s="4" customFormat="1" x14ac:dyDescent="0.2">
      <c r="A944" s="65">
        <v>112</v>
      </c>
      <c r="B944" s="66" t="s">
        <v>393</v>
      </c>
      <c r="C944" s="2" t="s">
        <v>7</v>
      </c>
      <c r="D944" s="1" t="s">
        <v>20</v>
      </c>
      <c r="E944" s="2" t="s">
        <v>379</v>
      </c>
      <c r="F944" s="1"/>
      <c r="G944" s="70">
        <v>10</v>
      </c>
      <c r="H944" s="3">
        <v>8.8736979166666695E-4</v>
      </c>
      <c r="I944" s="101">
        <f t="shared" si="19"/>
        <v>4.219814241486076</v>
      </c>
      <c r="K944" s="1"/>
      <c r="L944" s="1"/>
    </row>
    <row r="945" spans="1:12" s="4" customFormat="1" x14ac:dyDescent="0.2">
      <c r="A945" s="65">
        <v>112</v>
      </c>
      <c r="B945" s="66" t="s">
        <v>393</v>
      </c>
      <c r="C945" s="2" t="s">
        <v>7</v>
      </c>
      <c r="D945" s="1" t="s">
        <v>20</v>
      </c>
      <c r="E945" s="2" t="s">
        <v>379</v>
      </c>
      <c r="F945" s="1"/>
      <c r="G945" s="70">
        <v>100</v>
      </c>
      <c r="H945" s="3">
        <v>8.3528645833333295E-4</v>
      </c>
      <c r="I945" s="101">
        <f t="shared" si="19"/>
        <v>3.9721362229102213</v>
      </c>
      <c r="K945" s="1"/>
      <c r="L945" s="1"/>
    </row>
    <row r="946" spans="1:12" s="4" customFormat="1" x14ac:dyDescent="0.2">
      <c r="A946" s="65">
        <v>112</v>
      </c>
      <c r="B946" s="66" t="s">
        <v>393</v>
      </c>
      <c r="C946" s="2" t="s">
        <v>7</v>
      </c>
      <c r="D946" s="1" t="s">
        <v>20</v>
      </c>
      <c r="E946" s="2" t="s">
        <v>379</v>
      </c>
      <c r="F946" s="1"/>
      <c r="G946" s="70">
        <v>1000</v>
      </c>
      <c r="H946" s="3">
        <v>1.54947916666667E-4</v>
      </c>
      <c r="I946" s="101">
        <f t="shared" si="19"/>
        <v>0.73684210526316063</v>
      </c>
      <c r="K946" s="1"/>
      <c r="L946" s="1"/>
    </row>
    <row r="947" spans="1:12" s="4" customFormat="1" x14ac:dyDescent="0.2">
      <c r="A947" s="65">
        <v>112</v>
      </c>
      <c r="B947" s="66" t="s">
        <v>393</v>
      </c>
      <c r="C947" s="2" t="s">
        <v>7</v>
      </c>
      <c r="D947" s="1" t="s">
        <v>20</v>
      </c>
      <c r="E947" s="2" t="s">
        <v>379</v>
      </c>
      <c r="F947" s="1"/>
      <c r="G947" s="70">
        <v>2500</v>
      </c>
      <c r="H947" s="3">
        <v>8.4635416666673608E-6</v>
      </c>
      <c r="I947" s="101">
        <f t="shared" si="19"/>
        <v>4.0247678018579217E-2</v>
      </c>
      <c r="K947" s="1"/>
      <c r="L947" s="1"/>
    </row>
    <row r="948" spans="1:12" s="4" customFormat="1" x14ac:dyDescent="0.2">
      <c r="A948" s="65">
        <v>112</v>
      </c>
      <c r="B948" s="66" t="s">
        <v>393</v>
      </c>
      <c r="C948" s="2" t="s">
        <v>7</v>
      </c>
      <c r="D948" s="1" t="s">
        <v>20</v>
      </c>
      <c r="E948" s="2" t="s">
        <v>379</v>
      </c>
      <c r="F948" s="1"/>
      <c r="G948" s="70">
        <v>5000</v>
      </c>
      <c r="H948" s="3">
        <v>8.4635416666673608E-6</v>
      </c>
      <c r="I948" s="101">
        <f t="shared" si="19"/>
        <v>4.0247678018579217E-2</v>
      </c>
      <c r="K948" s="1"/>
      <c r="L948" s="1"/>
    </row>
    <row r="949" spans="1:12" s="4" customFormat="1" x14ac:dyDescent="0.2">
      <c r="A949" s="65">
        <v>112</v>
      </c>
      <c r="B949" s="66" t="s">
        <v>393</v>
      </c>
      <c r="C949" s="2" t="s">
        <v>7</v>
      </c>
      <c r="D949" s="1" t="s">
        <v>20</v>
      </c>
      <c r="E949" s="2" t="s">
        <v>379</v>
      </c>
      <c r="F949" s="1"/>
      <c r="G949" s="70">
        <v>10000</v>
      </c>
      <c r="H949" s="3">
        <v>5.2083333333339498E-6</v>
      </c>
      <c r="I949" s="101">
        <f t="shared" si="19"/>
        <v>2.4767801857588111E-2</v>
      </c>
      <c r="K949" s="1"/>
      <c r="L949" s="1"/>
    </row>
    <row r="950" spans="1:12" s="4" customFormat="1" x14ac:dyDescent="0.2">
      <c r="A950" s="65">
        <v>112</v>
      </c>
      <c r="B950" s="66" t="s">
        <v>392</v>
      </c>
      <c r="C950" s="2" t="s">
        <v>7</v>
      </c>
      <c r="D950" s="1" t="s">
        <v>20</v>
      </c>
      <c r="E950" s="2" t="s">
        <v>379</v>
      </c>
      <c r="F950" s="1"/>
      <c r="G950" s="70">
        <v>0</v>
      </c>
      <c r="H950" s="3">
        <v>2.10286458333333E-4</v>
      </c>
      <c r="I950" s="101">
        <f>H950/$H$950</f>
        <v>1</v>
      </c>
      <c r="K950" s="1"/>
      <c r="L950" s="1"/>
    </row>
    <row r="951" spans="1:12" s="4" customFormat="1" x14ac:dyDescent="0.2">
      <c r="A951" s="65">
        <v>112</v>
      </c>
      <c r="B951" s="66" t="s">
        <v>392</v>
      </c>
      <c r="C951" s="2" t="s">
        <v>7</v>
      </c>
      <c r="D951" s="1" t="s">
        <v>20</v>
      </c>
      <c r="E951" s="2" t="s">
        <v>379</v>
      </c>
      <c r="F951" s="1"/>
      <c r="G951" s="70">
        <v>0.01</v>
      </c>
      <c r="H951" s="3">
        <v>2.9166666666666599E-4</v>
      </c>
      <c r="I951" s="101">
        <f t="shared" ref="I951:I959" si="20">H951/$H$950</f>
        <v>1.3869969040247667</v>
      </c>
      <c r="K951" s="1"/>
      <c r="L951" s="1"/>
    </row>
    <row r="952" spans="1:12" s="4" customFormat="1" x14ac:dyDescent="0.2">
      <c r="A952" s="65">
        <v>112</v>
      </c>
      <c r="B952" s="66" t="s">
        <v>392</v>
      </c>
      <c r="C952" s="2" t="s">
        <v>7</v>
      </c>
      <c r="D952" s="1" t="s">
        <v>20</v>
      </c>
      <c r="E952" s="2" t="s">
        <v>379</v>
      </c>
      <c r="F952" s="1"/>
      <c r="G952" s="70">
        <v>0.1</v>
      </c>
      <c r="H952" s="3">
        <v>7.2460937499999999E-4</v>
      </c>
      <c r="I952" s="101">
        <f t="shared" si="20"/>
        <v>3.4458204334365381</v>
      </c>
      <c r="K952" s="1"/>
      <c r="L952" s="1"/>
    </row>
    <row r="953" spans="1:12" s="4" customFormat="1" x14ac:dyDescent="0.2">
      <c r="A953" s="65">
        <v>112</v>
      </c>
      <c r="B953" s="66" t="s">
        <v>392</v>
      </c>
      <c r="C953" s="2" t="s">
        <v>7</v>
      </c>
      <c r="D953" s="1" t="s">
        <v>20</v>
      </c>
      <c r="E953" s="2" t="s">
        <v>379</v>
      </c>
      <c r="F953" s="1"/>
      <c r="G953" s="70">
        <v>1</v>
      </c>
      <c r="H953" s="3">
        <v>5.8138020833333295E-4</v>
      </c>
      <c r="I953" s="101">
        <f t="shared" si="20"/>
        <v>2.7647058823529438</v>
      </c>
      <c r="K953" s="1"/>
      <c r="L953" s="1"/>
    </row>
    <row r="954" spans="1:12" s="4" customFormat="1" x14ac:dyDescent="0.2">
      <c r="A954" s="65">
        <v>112</v>
      </c>
      <c r="B954" s="66" t="s">
        <v>392</v>
      </c>
      <c r="C954" s="2" t="s">
        <v>7</v>
      </c>
      <c r="D954" s="1" t="s">
        <v>20</v>
      </c>
      <c r="E954" s="2" t="s">
        <v>379</v>
      </c>
      <c r="F954" s="1"/>
      <c r="G954" s="70">
        <v>10</v>
      </c>
      <c r="H954" s="3">
        <v>3.9908854166666597E-4</v>
      </c>
      <c r="I954" s="101">
        <f t="shared" si="20"/>
        <v>1.897832817337461</v>
      </c>
      <c r="K954" s="1"/>
      <c r="L954" s="1"/>
    </row>
    <row r="955" spans="1:12" s="4" customFormat="1" x14ac:dyDescent="0.2">
      <c r="A955" s="65">
        <v>112</v>
      </c>
      <c r="B955" s="66" t="s">
        <v>392</v>
      </c>
      <c r="C955" s="2" t="s">
        <v>7</v>
      </c>
      <c r="D955" s="1" t="s">
        <v>20</v>
      </c>
      <c r="E955" s="2" t="s">
        <v>379</v>
      </c>
      <c r="F955" s="1"/>
      <c r="G955" s="70">
        <v>100</v>
      </c>
      <c r="H955" s="3">
        <v>1.06119791666667E-4</v>
      </c>
      <c r="I955" s="101">
        <f t="shared" si="20"/>
        <v>0.5046439628482996</v>
      </c>
      <c r="K955" s="1"/>
      <c r="L955" s="1"/>
    </row>
    <row r="956" spans="1:12" s="4" customFormat="1" x14ac:dyDescent="0.2">
      <c r="A956" s="65">
        <v>112</v>
      </c>
      <c r="B956" s="66" t="s">
        <v>392</v>
      </c>
      <c r="C956" s="2" t="s">
        <v>7</v>
      </c>
      <c r="D956" s="1" t="s">
        <v>20</v>
      </c>
      <c r="E956" s="2" t="s">
        <v>379</v>
      </c>
      <c r="F956" s="1"/>
      <c r="G956" s="70">
        <v>1000</v>
      </c>
      <c r="H956" s="3">
        <v>1.9531250000006501E-6</v>
      </c>
      <c r="I956" s="101">
        <f t="shared" si="20"/>
        <v>9.2879256965975338E-3</v>
      </c>
      <c r="K956" s="1"/>
      <c r="L956" s="1"/>
    </row>
    <row r="957" spans="1:12" x14ac:dyDescent="0.2">
      <c r="A957" s="65">
        <v>112</v>
      </c>
      <c r="B957" s="66" t="s">
        <v>392</v>
      </c>
      <c r="C957" s="2" t="s">
        <v>7</v>
      </c>
      <c r="D957" s="1" t="s">
        <v>20</v>
      </c>
      <c r="E957" s="2" t="s">
        <v>379</v>
      </c>
      <c r="G957" s="70">
        <v>2500</v>
      </c>
      <c r="H957" s="3">
        <v>8.4635416666673608E-6</v>
      </c>
      <c r="I957" s="101">
        <f t="shared" si="20"/>
        <v>4.0247678018579217E-2</v>
      </c>
    </row>
    <row r="958" spans="1:12" x14ac:dyDescent="0.2">
      <c r="A958" s="65">
        <v>112</v>
      </c>
      <c r="B958" s="66" t="s">
        <v>392</v>
      </c>
      <c r="C958" s="2" t="s">
        <v>7</v>
      </c>
      <c r="D958" s="1" t="s">
        <v>20</v>
      </c>
      <c r="E958" s="2" t="s">
        <v>379</v>
      </c>
      <c r="G958" s="70">
        <v>5000</v>
      </c>
      <c r="H958" s="3">
        <v>5.2083333333339498E-6</v>
      </c>
      <c r="I958" s="101">
        <f t="shared" si="20"/>
        <v>2.4767801857588111E-2</v>
      </c>
    </row>
    <row r="959" spans="1:12" x14ac:dyDescent="0.2">
      <c r="A959" s="65">
        <v>112</v>
      </c>
      <c r="B959" s="66" t="s">
        <v>392</v>
      </c>
      <c r="C959" s="2" t="s">
        <v>7</v>
      </c>
      <c r="D959" s="1" t="s">
        <v>20</v>
      </c>
      <c r="E959" s="2" t="s">
        <v>379</v>
      </c>
      <c r="G959" s="70">
        <v>10000</v>
      </c>
      <c r="H959" s="3">
        <v>1.9531250000006501E-6</v>
      </c>
      <c r="I959" s="101">
        <f t="shared" si="20"/>
        <v>9.2879256965975338E-3</v>
      </c>
    </row>
    <row r="960" spans="1:12" x14ac:dyDescent="0.2">
      <c r="A960" s="65">
        <v>115</v>
      </c>
      <c r="B960" s="66" t="s">
        <v>369</v>
      </c>
      <c r="C960" s="2" t="s">
        <v>7</v>
      </c>
      <c r="D960" s="1" t="s">
        <v>20</v>
      </c>
      <c r="E960" s="2" t="s">
        <v>7</v>
      </c>
      <c r="F960" s="1" t="s">
        <v>9</v>
      </c>
      <c r="G960" s="70">
        <v>0</v>
      </c>
      <c r="H960" s="3">
        <v>3.34774581070573E-3</v>
      </c>
      <c r="I960" s="101">
        <f>H960/$H$960</f>
        <v>1</v>
      </c>
    </row>
    <row r="961" spans="1:10" x14ac:dyDescent="0.2">
      <c r="A961" s="65">
        <v>115</v>
      </c>
      <c r="B961" s="66" t="s">
        <v>369</v>
      </c>
      <c r="C961" s="2" t="s">
        <v>7</v>
      </c>
      <c r="D961" s="1" t="s">
        <v>20</v>
      </c>
      <c r="E961" s="2" t="s">
        <v>7</v>
      </c>
      <c r="F961" s="1" t="s">
        <v>9</v>
      </c>
      <c r="G961" s="70">
        <v>50</v>
      </c>
      <c r="H961" s="3">
        <v>4.2049649122403599E-3</v>
      </c>
      <c r="I961" s="101">
        <f t="shared" ref="I961:I966" si="21">H961/$H$960</f>
        <v>1.2560585988318873</v>
      </c>
    </row>
    <row r="962" spans="1:10" x14ac:dyDescent="0.2">
      <c r="A962" s="65">
        <v>115</v>
      </c>
      <c r="B962" s="66" t="s">
        <v>369</v>
      </c>
      <c r="C962" s="2" t="s">
        <v>7</v>
      </c>
      <c r="D962" s="1" t="s">
        <v>20</v>
      </c>
      <c r="E962" s="2" t="s">
        <v>7</v>
      </c>
      <c r="F962" s="1" t="s">
        <v>9</v>
      </c>
      <c r="G962" s="70">
        <v>100</v>
      </c>
      <c r="H962" s="3">
        <v>7.9614119988508803E-3</v>
      </c>
      <c r="I962" s="101">
        <f t="shared" si="21"/>
        <v>2.3781411280961486</v>
      </c>
    </row>
    <row r="963" spans="1:10" x14ac:dyDescent="0.2">
      <c r="A963" s="65">
        <v>115</v>
      </c>
      <c r="B963" s="66" t="s">
        <v>369</v>
      </c>
      <c r="C963" s="2" t="s">
        <v>7</v>
      </c>
      <c r="D963" s="1" t="s">
        <v>20</v>
      </c>
      <c r="E963" s="2" t="s">
        <v>7</v>
      </c>
      <c r="F963" s="1" t="s">
        <v>9</v>
      </c>
      <c r="G963" s="70">
        <v>500</v>
      </c>
      <c r="H963" s="3">
        <v>3.1985304904635602E-2</v>
      </c>
      <c r="I963" s="101">
        <f t="shared" si="21"/>
        <v>9.5542812128537502</v>
      </c>
    </row>
    <row r="964" spans="1:10" x14ac:dyDescent="0.2">
      <c r="A964" s="65">
        <v>115</v>
      </c>
      <c r="B964" s="66" t="s">
        <v>369</v>
      </c>
      <c r="C964" s="2" t="s">
        <v>7</v>
      </c>
      <c r="D964" s="1" t="s">
        <v>20</v>
      </c>
      <c r="E964" s="2" t="s">
        <v>7</v>
      </c>
      <c r="F964" s="1" t="s">
        <v>9</v>
      </c>
      <c r="G964" s="70">
        <v>1000</v>
      </c>
      <c r="H964" s="3">
        <v>7.1037087717087305E-2</v>
      </c>
      <c r="I964" s="101">
        <f t="shared" si="21"/>
        <v>21.219379168489542</v>
      </c>
    </row>
    <row r="965" spans="1:10" x14ac:dyDescent="0.2">
      <c r="A965" s="65">
        <v>115</v>
      </c>
      <c r="B965" s="66" t="s">
        <v>369</v>
      </c>
      <c r="C965" s="2" t="s">
        <v>7</v>
      </c>
      <c r="D965" s="1" t="s">
        <v>20</v>
      </c>
      <c r="E965" s="2" t="s">
        <v>7</v>
      </c>
      <c r="F965" s="1" t="s">
        <v>9</v>
      </c>
      <c r="G965" s="70">
        <v>4000</v>
      </c>
      <c r="H965" s="3">
        <v>0.20741095118420899</v>
      </c>
      <c r="I965" s="101">
        <f t="shared" si="21"/>
        <v>61.955406088757137</v>
      </c>
    </row>
    <row r="966" spans="1:10" x14ac:dyDescent="0.2">
      <c r="A966" s="65">
        <v>115</v>
      </c>
      <c r="B966" s="66" t="s">
        <v>369</v>
      </c>
      <c r="C966" s="2" t="s">
        <v>7</v>
      </c>
      <c r="D966" s="1" t="s">
        <v>20</v>
      </c>
      <c r="E966" s="2" t="s">
        <v>7</v>
      </c>
      <c r="F966" s="1" t="s">
        <v>9</v>
      </c>
      <c r="G966" s="70">
        <v>8000</v>
      </c>
      <c r="H966" s="3">
        <v>0.22721429101683799</v>
      </c>
      <c r="I966" s="101">
        <f t="shared" si="21"/>
        <v>67.870831259121047</v>
      </c>
    </row>
    <row r="967" spans="1:10" x14ac:dyDescent="0.2">
      <c r="A967" s="65">
        <v>115</v>
      </c>
      <c r="B967" s="66" t="s">
        <v>369</v>
      </c>
      <c r="C967" s="2" t="s">
        <v>7</v>
      </c>
      <c r="D967" s="1" t="s">
        <v>20</v>
      </c>
      <c r="E967" s="2" t="s">
        <v>370</v>
      </c>
      <c r="F967" s="1" t="s">
        <v>26</v>
      </c>
      <c r="G967" s="70">
        <v>0</v>
      </c>
      <c r="H967" s="3">
        <v>5.93978180672259E-5</v>
      </c>
      <c r="I967" s="101">
        <f>H967/$H$967</f>
        <v>1</v>
      </c>
    </row>
    <row r="968" spans="1:10" x14ac:dyDescent="0.2">
      <c r="A968" s="65">
        <v>115</v>
      </c>
      <c r="B968" s="66" t="s">
        <v>369</v>
      </c>
      <c r="C968" s="2" t="s">
        <v>7</v>
      </c>
      <c r="D968" s="1" t="s">
        <v>20</v>
      </c>
      <c r="E968" s="2" t="s">
        <v>370</v>
      </c>
      <c r="F968" s="1" t="s">
        <v>26</v>
      </c>
      <c r="G968" s="70">
        <v>500</v>
      </c>
      <c r="H968" s="3">
        <v>5.4253308729347097E-5</v>
      </c>
      <c r="I968" s="101">
        <f t="shared" ref="I968:I971" si="22">H968/$H$967</f>
        <v>0.91338891721483284</v>
      </c>
    </row>
    <row r="969" spans="1:10" x14ac:dyDescent="0.2">
      <c r="A969" s="65">
        <v>115</v>
      </c>
      <c r="B969" s="66" t="s">
        <v>369</v>
      </c>
      <c r="C969" s="2" t="s">
        <v>7</v>
      </c>
      <c r="D969" s="1" t="s">
        <v>20</v>
      </c>
      <c r="E969" s="2" t="s">
        <v>370</v>
      </c>
      <c r="F969" s="1" t="s">
        <v>26</v>
      </c>
      <c r="G969" s="70">
        <v>1000</v>
      </c>
      <c r="H969" s="3">
        <v>1.36278150061747E-4</v>
      </c>
      <c r="I969" s="101">
        <f t="shared" si="22"/>
        <v>2.294329227843162</v>
      </c>
    </row>
    <row r="970" spans="1:10" x14ac:dyDescent="0.2">
      <c r="A970" s="65">
        <v>115</v>
      </c>
      <c r="B970" s="66" t="s">
        <v>369</v>
      </c>
      <c r="C970" s="2" t="s">
        <v>7</v>
      </c>
      <c r="D970" s="1" t="s">
        <v>20</v>
      </c>
      <c r="E970" s="2" t="s">
        <v>370</v>
      </c>
      <c r="F970" s="1" t="s">
        <v>26</v>
      </c>
      <c r="G970" s="70">
        <v>4000</v>
      </c>
      <c r="H970" s="3">
        <v>1.4920057326433899E-4</v>
      </c>
      <c r="I970" s="101">
        <f t="shared" si="22"/>
        <v>2.5118864315095744</v>
      </c>
    </row>
    <row r="971" spans="1:10" x14ac:dyDescent="0.2">
      <c r="A971" s="65">
        <v>115</v>
      </c>
      <c r="B971" s="66" t="s">
        <v>369</v>
      </c>
      <c r="C971" s="2" t="s">
        <v>7</v>
      </c>
      <c r="D971" s="1" t="s">
        <v>20</v>
      </c>
      <c r="E971" s="2" t="s">
        <v>370</v>
      </c>
      <c r="F971" s="1" t="s">
        <v>26</v>
      </c>
      <c r="G971" s="70">
        <v>8000</v>
      </c>
      <c r="H971" s="3">
        <v>1.78837675517489E-4</v>
      </c>
      <c r="I971" s="101">
        <f t="shared" si="22"/>
        <v>3.0108458750973339</v>
      </c>
    </row>
    <row r="972" spans="1:10" x14ac:dyDescent="0.2">
      <c r="A972" s="65">
        <v>117</v>
      </c>
      <c r="B972" s="66" t="s">
        <v>389</v>
      </c>
      <c r="C972" s="2" t="s">
        <v>25</v>
      </c>
      <c r="E972" s="2" t="s">
        <v>371</v>
      </c>
      <c r="G972" s="70">
        <v>0</v>
      </c>
      <c r="H972" s="3">
        <v>6.45792563600783E-5</v>
      </c>
      <c r="I972" s="101">
        <f>H972/$H$972</f>
        <v>1</v>
      </c>
      <c r="J972" s="1"/>
    </row>
    <row r="973" spans="1:10" x14ac:dyDescent="0.2">
      <c r="A973" s="65">
        <v>117</v>
      </c>
      <c r="B973" s="66" t="s">
        <v>389</v>
      </c>
      <c r="C973" s="2" t="s">
        <v>25</v>
      </c>
      <c r="E973" s="2" t="s">
        <v>371</v>
      </c>
      <c r="G973" s="70">
        <v>1</v>
      </c>
      <c r="H973" s="3">
        <v>1.5557729941291501E-4</v>
      </c>
      <c r="I973" s="101">
        <f t="shared" ref="I973:I975" si="23">H973/$H$972</f>
        <v>2.4090909090908954</v>
      </c>
      <c r="J973" s="1"/>
    </row>
    <row r="974" spans="1:10" x14ac:dyDescent="0.2">
      <c r="A974" s="65">
        <v>117</v>
      </c>
      <c r="B974" s="66" t="s">
        <v>389</v>
      </c>
      <c r="C974" s="2" t="s">
        <v>25</v>
      </c>
      <c r="E974" s="2" t="s">
        <v>371</v>
      </c>
      <c r="G974" s="70">
        <v>10</v>
      </c>
      <c r="H974" s="3">
        <v>1.1506849315068401E-3</v>
      </c>
      <c r="I974" s="101">
        <f t="shared" si="23"/>
        <v>17.818181818181671</v>
      </c>
      <c r="J974" s="1"/>
    </row>
    <row r="975" spans="1:10" x14ac:dyDescent="0.2">
      <c r="A975" s="65">
        <v>117</v>
      </c>
      <c r="B975" s="66" t="s">
        <v>389</v>
      </c>
      <c r="C975" s="2" t="s">
        <v>25</v>
      </c>
      <c r="E975" s="2" t="s">
        <v>371</v>
      </c>
      <c r="G975" s="70">
        <v>100</v>
      </c>
      <c r="H975" s="3">
        <v>1.1888454011741601E-3</v>
      </c>
      <c r="I975" s="101">
        <f t="shared" si="23"/>
        <v>18.409090909090775</v>
      </c>
      <c r="J975" s="1"/>
    </row>
    <row r="976" spans="1:10" x14ac:dyDescent="0.2">
      <c r="A976" s="65">
        <v>120</v>
      </c>
      <c r="B976" s="66" t="s">
        <v>243</v>
      </c>
      <c r="C976" s="2" t="s">
        <v>7</v>
      </c>
      <c r="D976" s="1" t="s">
        <v>20</v>
      </c>
      <c r="E976" s="2" t="s">
        <v>7</v>
      </c>
      <c r="F976" s="1" t="s">
        <v>9</v>
      </c>
      <c r="G976" s="70">
        <v>0</v>
      </c>
      <c r="I976" s="101">
        <v>1.08374384236452</v>
      </c>
      <c r="J976" s="1"/>
    </row>
    <row r="977" spans="1:10" x14ac:dyDescent="0.2">
      <c r="A977" s="65">
        <v>120</v>
      </c>
      <c r="B977" s="66" t="s">
        <v>243</v>
      </c>
      <c r="C977" s="2" t="s">
        <v>7</v>
      </c>
      <c r="D977" s="1" t="s">
        <v>20</v>
      </c>
      <c r="E977" s="2" t="s">
        <v>7</v>
      </c>
      <c r="F977" s="1" t="s">
        <v>9</v>
      </c>
      <c r="G977" s="70">
        <v>0.04</v>
      </c>
      <c r="I977" s="101">
        <v>3.3169129720853801</v>
      </c>
      <c r="J977" s="1"/>
    </row>
    <row r="978" spans="1:10" x14ac:dyDescent="0.2">
      <c r="A978" s="65">
        <v>120</v>
      </c>
      <c r="B978" s="66" t="s">
        <v>243</v>
      </c>
      <c r="C978" s="2" t="s">
        <v>7</v>
      </c>
      <c r="D978" s="1" t="s">
        <v>20</v>
      </c>
      <c r="E978" s="2" t="s">
        <v>7</v>
      </c>
      <c r="F978" s="1" t="s">
        <v>9</v>
      </c>
      <c r="G978" s="70">
        <v>0.4</v>
      </c>
      <c r="I978" s="101">
        <v>7.8160919540229798</v>
      </c>
      <c r="J978" s="1"/>
    </row>
    <row r="979" spans="1:10" x14ac:dyDescent="0.2">
      <c r="A979" s="65">
        <v>120</v>
      </c>
      <c r="B979" s="66" t="s">
        <v>243</v>
      </c>
      <c r="C979" s="2" t="s">
        <v>7</v>
      </c>
      <c r="D979" s="1" t="s">
        <v>20</v>
      </c>
      <c r="E979" s="2" t="s">
        <v>7</v>
      </c>
      <c r="F979" s="1" t="s">
        <v>9</v>
      </c>
      <c r="G979" s="70">
        <v>1.6</v>
      </c>
      <c r="I979" s="101">
        <v>11.1986863711001</v>
      </c>
      <c r="J979" s="1"/>
    </row>
    <row r="980" spans="1:10" x14ac:dyDescent="0.2">
      <c r="A980" s="65">
        <v>120</v>
      </c>
      <c r="B980" s="66" t="s">
        <v>243</v>
      </c>
      <c r="C980" s="2" t="s">
        <v>7</v>
      </c>
      <c r="D980" s="1" t="s">
        <v>20</v>
      </c>
      <c r="E980" s="2" t="s">
        <v>7</v>
      </c>
      <c r="F980" s="1" t="s">
        <v>9</v>
      </c>
      <c r="G980" s="70">
        <v>4</v>
      </c>
      <c r="I980" s="101">
        <v>10.4761904761904</v>
      </c>
      <c r="J980" s="1"/>
    </row>
    <row r="981" spans="1:10" x14ac:dyDescent="0.2">
      <c r="A981" s="65">
        <v>120</v>
      </c>
      <c r="B981" s="66" t="s">
        <v>400</v>
      </c>
      <c r="C981" s="2" t="s">
        <v>7</v>
      </c>
      <c r="D981" s="1" t="s">
        <v>20</v>
      </c>
      <c r="E981" s="2" t="s">
        <v>7</v>
      </c>
      <c r="F981" s="1" t="s">
        <v>9</v>
      </c>
      <c r="G981" s="70">
        <v>0</v>
      </c>
      <c r="I981" s="101">
        <v>1.0351201478743</v>
      </c>
      <c r="J981" s="1"/>
    </row>
    <row r="982" spans="1:10" x14ac:dyDescent="0.2">
      <c r="A982" s="65">
        <v>120</v>
      </c>
      <c r="B982" s="66" t="s">
        <v>400</v>
      </c>
      <c r="C982" s="2" t="s">
        <v>7</v>
      </c>
      <c r="D982" s="1" t="s">
        <v>20</v>
      </c>
      <c r="E982" s="2" t="s">
        <v>7</v>
      </c>
      <c r="F982" s="1" t="s">
        <v>9</v>
      </c>
      <c r="G982" s="70">
        <v>0.04</v>
      </c>
      <c r="I982" s="101">
        <v>7.2458410351201401</v>
      </c>
      <c r="J982" s="1"/>
    </row>
    <row r="983" spans="1:10" x14ac:dyDescent="0.2">
      <c r="A983" s="65">
        <v>120</v>
      </c>
      <c r="B983" s="66" t="s">
        <v>400</v>
      </c>
      <c r="C983" s="2" t="s">
        <v>7</v>
      </c>
      <c r="D983" s="1" t="s">
        <v>20</v>
      </c>
      <c r="E983" s="2" t="s">
        <v>7</v>
      </c>
      <c r="F983" s="1" t="s">
        <v>9</v>
      </c>
      <c r="G983" s="70">
        <v>0.4</v>
      </c>
      <c r="I983" s="101">
        <v>13.530499075785499</v>
      </c>
      <c r="J983" s="1"/>
    </row>
    <row r="984" spans="1:10" x14ac:dyDescent="0.2">
      <c r="A984" s="65">
        <v>120</v>
      </c>
      <c r="B984" s="66" t="s">
        <v>400</v>
      </c>
      <c r="C984" s="2" t="s">
        <v>7</v>
      </c>
      <c r="D984" s="1" t="s">
        <v>20</v>
      </c>
      <c r="E984" s="2" t="s">
        <v>7</v>
      </c>
      <c r="F984" s="1" t="s">
        <v>9</v>
      </c>
      <c r="G984" s="70">
        <v>1.6</v>
      </c>
      <c r="I984" s="101">
        <v>23.364140480591399</v>
      </c>
      <c r="J984" s="1"/>
    </row>
    <row r="985" spans="1:10" x14ac:dyDescent="0.2">
      <c r="A985" s="65">
        <v>120</v>
      </c>
      <c r="B985" s="66" t="s">
        <v>400</v>
      </c>
      <c r="C985" s="2" t="s">
        <v>7</v>
      </c>
      <c r="D985" s="1" t="s">
        <v>20</v>
      </c>
      <c r="E985" s="2" t="s">
        <v>7</v>
      </c>
      <c r="F985" s="1" t="s">
        <v>9</v>
      </c>
      <c r="G985" s="70">
        <v>4</v>
      </c>
      <c r="I985" s="101">
        <v>21.959334565619201</v>
      </c>
      <c r="J985" s="1"/>
    </row>
    <row r="986" spans="1:10" x14ac:dyDescent="0.2">
      <c r="A986" s="65">
        <v>120</v>
      </c>
      <c r="B986" s="66" t="s">
        <v>386</v>
      </c>
      <c r="C986" s="2" t="s">
        <v>7</v>
      </c>
      <c r="D986" s="1" t="s">
        <v>20</v>
      </c>
      <c r="E986" s="2" t="s">
        <v>7</v>
      </c>
      <c r="F986" s="1" t="s">
        <v>9</v>
      </c>
      <c r="G986" s="70">
        <v>0</v>
      </c>
      <c r="I986" s="101">
        <v>1.0114192495921599</v>
      </c>
      <c r="J986" s="1"/>
    </row>
    <row r="987" spans="1:10" x14ac:dyDescent="0.2">
      <c r="A987" s="65">
        <v>120</v>
      </c>
      <c r="B987" s="66" t="s">
        <v>386</v>
      </c>
      <c r="C987" s="2" t="s">
        <v>7</v>
      </c>
      <c r="D987" s="1" t="s">
        <v>20</v>
      </c>
      <c r="E987" s="2" t="s">
        <v>7</v>
      </c>
      <c r="F987" s="1" t="s">
        <v>9</v>
      </c>
      <c r="G987" s="70">
        <v>0.04</v>
      </c>
      <c r="I987" s="101">
        <v>1.1745513866231601</v>
      </c>
      <c r="J987" s="1"/>
    </row>
    <row r="988" spans="1:10" x14ac:dyDescent="0.2">
      <c r="A988" s="65">
        <v>120</v>
      </c>
      <c r="B988" s="66" t="s">
        <v>386</v>
      </c>
      <c r="C988" s="2" t="s">
        <v>7</v>
      </c>
      <c r="D988" s="1" t="s">
        <v>20</v>
      </c>
      <c r="E988" s="2" t="s">
        <v>7</v>
      </c>
      <c r="F988" s="1" t="s">
        <v>9</v>
      </c>
      <c r="G988" s="70">
        <v>0.4</v>
      </c>
      <c r="I988" s="101">
        <v>2.5774877650897201</v>
      </c>
      <c r="J988" s="1"/>
    </row>
    <row r="989" spans="1:10" x14ac:dyDescent="0.2">
      <c r="A989" s="65">
        <v>120</v>
      </c>
      <c r="B989" s="66" t="s">
        <v>386</v>
      </c>
      <c r="C989" s="2" t="s">
        <v>7</v>
      </c>
      <c r="D989" s="1" t="s">
        <v>20</v>
      </c>
      <c r="E989" s="2" t="s">
        <v>7</v>
      </c>
      <c r="F989" s="1" t="s">
        <v>9</v>
      </c>
      <c r="G989" s="70">
        <v>1.6</v>
      </c>
      <c r="I989" s="101">
        <v>5.3670473083197399</v>
      </c>
      <c r="J989" s="1"/>
    </row>
    <row r="990" spans="1:10" x14ac:dyDescent="0.2">
      <c r="A990" s="65">
        <v>120</v>
      </c>
      <c r="B990" s="66" t="s">
        <v>386</v>
      </c>
      <c r="C990" s="2" t="s">
        <v>7</v>
      </c>
      <c r="D990" s="1" t="s">
        <v>20</v>
      </c>
      <c r="E990" s="2" t="s">
        <v>7</v>
      </c>
      <c r="F990" s="1" t="s">
        <v>9</v>
      </c>
      <c r="G990" s="70">
        <v>4</v>
      </c>
      <c r="I990" s="101">
        <v>3.8009787928221801</v>
      </c>
      <c r="J990" s="1"/>
    </row>
    <row r="991" spans="1:10" x14ac:dyDescent="0.2">
      <c r="A991" s="65">
        <v>120</v>
      </c>
      <c r="B991" s="66" t="s">
        <v>244</v>
      </c>
      <c r="C991" s="2" t="s">
        <v>7</v>
      </c>
      <c r="D991" s="1" t="s">
        <v>20</v>
      </c>
      <c r="E991" s="2" t="s">
        <v>7</v>
      </c>
      <c r="F991" s="1" t="s">
        <v>9</v>
      </c>
      <c r="G991" s="70">
        <v>0</v>
      </c>
      <c r="I991" s="101">
        <v>1.0480349344977999</v>
      </c>
      <c r="J991" s="1"/>
    </row>
    <row r="992" spans="1:10" x14ac:dyDescent="0.2">
      <c r="A992" s="65">
        <v>120</v>
      </c>
      <c r="B992" s="66" t="s">
        <v>244</v>
      </c>
      <c r="C992" s="2" t="s">
        <v>7</v>
      </c>
      <c r="D992" s="1" t="s">
        <v>20</v>
      </c>
      <c r="E992" s="2" t="s">
        <v>7</v>
      </c>
      <c r="F992" s="1" t="s">
        <v>9</v>
      </c>
      <c r="G992" s="70">
        <v>0.04</v>
      </c>
      <c r="I992" s="101">
        <v>9.5633187772925705</v>
      </c>
      <c r="J992" s="1"/>
    </row>
    <row r="993" spans="1:10" x14ac:dyDescent="0.2">
      <c r="A993" s="65">
        <v>120</v>
      </c>
      <c r="B993" s="66" t="s">
        <v>244</v>
      </c>
      <c r="C993" s="2" t="s">
        <v>7</v>
      </c>
      <c r="D993" s="1" t="s">
        <v>20</v>
      </c>
      <c r="E993" s="2" t="s">
        <v>7</v>
      </c>
      <c r="F993" s="1" t="s">
        <v>9</v>
      </c>
      <c r="G993" s="70">
        <v>0.4</v>
      </c>
      <c r="I993" s="101">
        <v>21.222707423580701</v>
      </c>
      <c r="J993" s="1"/>
    </row>
    <row r="994" spans="1:10" x14ac:dyDescent="0.2">
      <c r="A994" s="65">
        <v>120</v>
      </c>
      <c r="B994" s="66" t="s">
        <v>244</v>
      </c>
      <c r="C994" s="2" t="s">
        <v>7</v>
      </c>
      <c r="D994" s="1" t="s">
        <v>20</v>
      </c>
      <c r="E994" s="2" t="s">
        <v>7</v>
      </c>
      <c r="F994" s="1" t="s">
        <v>9</v>
      </c>
      <c r="G994" s="70">
        <v>1.6</v>
      </c>
      <c r="I994" s="101">
        <v>46.637554585152799</v>
      </c>
      <c r="J994" s="1"/>
    </row>
    <row r="995" spans="1:10" x14ac:dyDescent="0.2">
      <c r="A995" s="65">
        <v>120</v>
      </c>
      <c r="B995" s="66" t="s">
        <v>391</v>
      </c>
      <c r="C995" s="2" t="s">
        <v>7</v>
      </c>
      <c r="D995" s="1" t="s">
        <v>20</v>
      </c>
      <c r="E995" s="2" t="s">
        <v>7</v>
      </c>
      <c r="F995" s="1" t="s">
        <v>9</v>
      </c>
      <c r="G995" s="70">
        <v>0</v>
      </c>
      <c r="I995" s="101">
        <v>1.171875</v>
      </c>
      <c r="J995" s="1"/>
    </row>
    <row r="996" spans="1:10" x14ac:dyDescent="0.2">
      <c r="A996" s="65">
        <v>120</v>
      </c>
      <c r="B996" s="66" t="s">
        <v>391</v>
      </c>
      <c r="C996" s="2" t="s">
        <v>7</v>
      </c>
      <c r="D996" s="1" t="s">
        <v>20</v>
      </c>
      <c r="E996" s="2" t="s">
        <v>7</v>
      </c>
      <c r="F996" s="1" t="s">
        <v>9</v>
      </c>
      <c r="G996" s="70">
        <v>0.04</v>
      </c>
      <c r="I996" s="101">
        <v>2.1093749999999898</v>
      </c>
      <c r="J996" s="1"/>
    </row>
    <row r="997" spans="1:10" x14ac:dyDescent="0.2">
      <c r="A997" s="65">
        <v>120</v>
      </c>
      <c r="B997" s="66" t="s">
        <v>391</v>
      </c>
      <c r="C997" s="2" t="s">
        <v>7</v>
      </c>
      <c r="D997" s="1" t="s">
        <v>20</v>
      </c>
      <c r="E997" s="2" t="s">
        <v>7</v>
      </c>
      <c r="F997" s="1" t="s">
        <v>9</v>
      </c>
      <c r="G997" s="70">
        <v>0.4</v>
      </c>
      <c r="I997" s="101">
        <v>16.054687499999901</v>
      </c>
      <c r="J997" s="1"/>
    </row>
    <row r="998" spans="1:10" x14ac:dyDescent="0.2">
      <c r="A998" s="65">
        <v>120</v>
      </c>
      <c r="B998" s="66" t="s">
        <v>391</v>
      </c>
      <c r="C998" s="2" t="s">
        <v>7</v>
      </c>
      <c r="D998" s="1" t="s">
        <v>20</v>
      </c>
      <c r="E998" s="2" t="s">
        <v>7</v>
      </c>
      <c r="F998" s="1" t="s">
        <v>9</v>
      </c>
      <c r="G998" s="70">
        <v>1.6</v>
      </c>
      <c r="I998" s="101">
        <v>38.4375</v>
      </c>
      <c r="J998" s="1"/>
    </row>
    <row r="999" spans="1:10" x14ac:dyDescent="0.2">
      <c r="A999" s="65">
        <v>120</v>
      </c>
      <c r="B999" s="66" t="s">
        <v>391</v>
      </c>
      <c r="C999" s="2" t="s">
        <v>7</v>
      </c>
      <c r="D999" s="1" t="s">
        <v>20</v>
      </c>
      <c r="E999" s="2" t="s">
        <v>7</v>
      </c>
      <c r="F999" s="1" t="s">
        <v>9</v>
      </c>
      <c r="G999" s="70">
        <v>4</v>
      </c>
      <c r="I999" s="101">
        <v>45.468749999999901</v>
      </c>
      <c r="J999" s="1"/>
    </row>
    <row r="1000" spans="1:10" x14ac:dyDescent="0.2">
      <c r="A1000" s="65">
        <v>120</v>
      </c>
      <c r="B1000" s="66" t="s">
        <v>390</v>
      </c>
      <c r="C1000" s="2" t="s">
        <v>7</v>
      </c>
      <c r="D1000" s="1" t="s">
        <v>20</v>
      </c>
      <c r="E1000" s="2" t="s">
        <v>7</v>
      </c>
      <c r="F1000" s="1" t="s">
        <v>9</v>
      </c>
      <c r="G1000" s="70">
        <v>0</v>
      </c>
      <c r="I1000" s="101">
        <v>1.0643015521064201</v>
      </c>
      <c r="J1000" s="1"/>
    </row>
    <row r="1001" spans="1:10" x14ac:dyDescent="0.2">
      <c r="A1001" s="65">
        <v>120</v>
      </c>
      <c r="B1001" s="66" t="s">
        <v>390</v>
      </c>
      <c r="C1001" s="2" t="s">
        <v>7</v>
      </c>
      <c r="D1001" s="1" t="s">
        <v>20</v>
      </c>
      <c r="E1001" s="2" t="s">
        <v>7</v>
      </c>
      <c r="F1001" s="1" t="s">
        <v>9</v>
      </c>
      <c r="G1001" s="70">
        <v>0.04</v>
      </c>
      <c r="I1001" s="101">
        <v>1.9955654101995499</v>
      </c>
      <c r="J1001" s="1"/>
    </row>
    <row r="1002" spans="1:10" x14ac:dyDescent="0.2">
      <c r="A1002" s="65">
        <v>120</v>
      </c>
      <c r="B1002" s="66" t="s">
        <v>390</v>
      </c>
      <c r="C1002" s="2" t="s">
        <v>7</v>
      </c>
      <c r="D1002" s="1" t="s">
        <v>20</v>
      </c>
      <c r="E1002" s="2" t="s">
        <v>7</v>
      </c>
      <c r="F1002" s="1" t="s">
        <v>9</v>
      </c>
      <c r="G1002" s="70">
        <v>0.4</v>
      </c>
      <c r="I1002" s="101">
        <v>14.501108647450099</v>
      </c>
      <c r="J1002" s="1"/>
    </row>
    <row r="1003" spans="1:10" x14ac:dyDescent="0.2">
      <c r="A1003" s="65">
        <v>120</v>
      </c>
      <c r="B1003" s="66" t="s">
        <v>390</v>
      </c>
      <c r="C1003" s="2" t="s">
        <v>7</v>
      </c>
      <c r="D1003" s="1" t="s">
        <v>20</v>
      </c>
      <c r="E1003" s="2" t="s">
        <v>7</v>
      </c>
      <c r="F1003" s="1" t="s">
        <v>9</v>
      </c>
      <c r="G1003" s="70">
        <v>1.6</v>
      </c>
      <c r="I1003" s="101">
        <v>30.997782705099699</v>
      </c>
      <c r="J1003" s="1"/>
    </row>
    <row r="1004" spans="1:10" x14ac:dyDescent="0.2">
      <c r="A1004" s="65">
        <v>120</v>
      </c>
      <c r="B1004" s="66" t="s">
        <v>390</v>
      </c>
      <c r="C1004" s="2" t="s">
        <v>7</v>
      </c>
      <c r="D1004" s="1" t="s">
        <v>20</v>
      </c>
      <c r="E1004" s="2" t="s">
        <v>7</v>
      </c>
      <c r="F1004" s="1" t="s">
        <v>9</v>
      </c>
      <c r="G1004" s="70">
        <v>4</v>
      </c>
      <c r="I1004" s="101">
        <v>44.966740576496598</v>
      </c>
      <c r="J1004" s="1"/>
    </row>
    <row r="1005" spans="1:10" x14ac:dyDescent="0.2">
      <c r="A1005" s="65">
        <v>120</v>
      </c>
      <c r="B1005" s="66" t="s">
        <v>243</v>
      </c>
      <c r="C1005" s="2" t="s">
        <v>7</v>
      </c>
      <c r="D1005" s="1" t="s">
        <v>20</v>
      </c>
      <c r="E1005" s="1" t="s">
        <v>372</v>
      </c>
      <c r="F1005" s="1" t="s">
        <v>373</v>
      </c>
      <c r="G1005" s="70">
        <v>0</v>
      </c>
      <c r="I1005" s="101">
        <v>1.0509031198686301</v>
      </c>
      <c r="J1005" s="1"/>
    </row>
    <row r="1006" spans="1:10" x14ac:dyDescent="0.2">
      <c r="A1006" s="65">
        <v>120</v>
      </c>
      <c r="B1006" s="66" t="s">
        <v>243</v>
      </c>
      <c r="C1006" s="2" t="s">
        <v>7</v>
      </c>
      <c r="D1006" s="1" t="s">
        <v>20</v>
      </c>
      <c r="E1006" s="1" t="s">
        <v>372</v>
      </c>
      <c r="F1006" s="1" t="s">
        <v>373</v>
      </c>
      <c r="G1006" s="70">
        <v>0.04</v>
      </c>
      <c r="I1006" s="101">
        <v>1.44499178981937</v>
      </c>
      <c r="J1006" s="1"/>
    </row>
    <row r="1007" spans="1:10" x14ac:dyDescent="0.2">
      <c r="A1007" s="65">
        <v>120</v>
      </c>
      <c r="B1007" s="66" t="s">
        <v>243</v>
      </c>
      <c r="C1007" s="2" t="s">
        <v>7</v>
      </c>
      <c r="D1007" s="1" t="s">
        <v>20</v>
      </c>
      <c r="E1007" s="1" t="s">
        <v>372</v>
      </c>
      <c r="F1007" s="1" t="s">
        <v>373</v>
      </c>
      <c r="G1007" s="70">
        <v>0.4</v>
      </c>
      <c r="I1007" s="101">
        <v>2.66009852216748</v>
      </c>
      <c r="J1007" s="1"/>
    </row>
    <row r="1008" spans="1:10" x14ac:dyDescent="0.2">
      <c r="A1008" s="65">
        <v>120</v>
      </c>
      <c r="B1008" s="66" t="s">
        <v>243</v>
      </c>
      <c r="C1008" s="2" t="s">
        <v>7</v>
      </c>
      <c r="D1008" s="1" t="s">
        <v>20</v>
      </c>
      <c r="E1008" s="1" t="s">
        <v>372</v>
      </c>
      <c r="F1008" s="1" t="s">
        <v>373</v>
      </c>
      <c r="G1008" s="70">
        <v>1.6</v>
      </c>
      <c r="I1008" s="101">
        <v>3.7110016420361198</v>
      </c>
      <c r="J1008" s="1"/>
    </row>
    <row r="1009" spans="1:10" x14ac:dyDescent="0.2">
      <c r="A1009" s="65">
        <v>120</v>
      </c>
      <c r="B1009" s="66" t="s">
        <v>243</v>
      </c>
      <c r="C1009" s="2" t="s">
        <v>7</v>
      </c>
      <c r="D1009" s="1" t="s">
        <v>20</v>
      </c>
      <c r="E1009" s="1" t="s">
        <v>372</v>
      </c>
      <c r="F1009" s="1" t="s">
        <v>373</v>
      </c>
      <c r="G1009" s="70">
        <v>4</v>
      </c>
      <c r="I1009" s="101">
        <v>4.0065681444991696</v>
      </c>
      <c r="J1009" s="1"/>
    </row>
    <row r="1010" spans="1:10" x14ac:dyDescent="0.2">
      <c r="A1010" s="65">
        <v>120</v>
      </c>
      <c r="B1010" s="66" t="s">
        <v>400</v>
      </c>
      <c r="C1010" s="2" t="s">
        <v>7</v>
      </c>
      <c r="D1010" s="1" t="s">
        <v>20</v>
      </c>
      <c r="E1010" s="1" t="s">
        <v>372</v>
      </c>
      <c r="F1010" s="1" t="s">
        <v>373</v>
      </c>
      <c r="G1010" s="70">
        <v>0</v>
      </c>
      <c r="I1010" s="101">
        <v>1.0351201478743</v>
      </c>
      <c r="J1010" s="1"/>
    </row>
    <row r="1011" spans="1:10" x14ac:dyDescent="0.2">
      <c r="A1011" s="65">
        <v>120</v>
      </c>
      <c r="B1011" s="66" t="s">
        <v>400</v>
      </c>
      <c r="C1011" s="2" t="s">
        <v>7</v>
      </c>
      <c r="D1011" s="1" t="s">
        <v>20</v>
      </c>
      <c r="E1011" s="1" t="s">
        <v>372</v>
      </c>
      <c r="F1011" s="1" t="s">
        <v>373</v>
      </c>
      <c r="G1011" s="70">
        <v>0.04</v>
      </c>
      <c r="I1011" s="101">
        <v>2.5878003696857599</v>
      </c>
      <c r="J1011" s="1"/>
    </row>
    <row r="1012" spans="1:10" x14ac:dyDescent="0.2">
      <c r="A1012" s="65">
        <v>120</v>
      </c>
      <c r="B1012" s="66" t="s">
        <v>400</v>
      </c>
      <c r="C1012" s="2" t="s">
        <v>7</v>
      </c>
      <c r="D1012" s="1" t="s">
        <v>20</v>
      </c>
      <c r="E1012" s="1" t="s">
        <v>372</v>
      </c>
      <c r="F1012" s="1" t="s">
        <v>373</v>
      </c>
      <c r="G1012" s="70">
        <v>0.4</v>
      </c>
      <c r="I1012" s="101">
        <v>3.9186691312384401</v>
      </c>
      <c r="J1012" s="1"/>
    </row>
    <row r="1013" spans="1:10" x14ac:dyDescent="0.2">
      <c r="A1013" s="65">
        <v>120</v>
      </c>
      <c r="B1013" s="66" t="s">
        <v>400</v>
      </c>
      <c r="C1013" s="2" t="s">
        <v>7</v>
      </c>
      <c r="D1013" s="1" t="s">
        <v>20</v>
      </c>
      <c r="E1013" s="1" t="s">
        <v>372</v>
      </c>
      <c r="F1013" s="1" t="s">
        <v>373</v>
      </c>
      <c r="G1013" s="70">
        <v>1.6</v>
      </c>
      <c r="I1013" s="101">
        <v>12.71719038817</v>
      </c>
      <c r="J1013" s="1"/>
    </row>
    <row r="1014" spans="1:10" x14ac:dyDescent="0.2">
      <c r="A1014" s="65">
        <v>120</v>
      </c>
      <c r="B1014" s="66" t="s">
        <v>400</v>
      </c>
      <c r="C1014" s="2" t="s">
        <v>7</v>
      </c>
      <c r="D1014" s="1" t="s">
        <v>20</v>
      </c>
      <c r="E1014" s="1" t="s">
        <v>372</v>
      </c>
      <c r="F1014" s="1" t="s">
        <v>373</v>
      </c>
      <c r="G1014" s="70">
        <v>4</v>
      </c>
      <c r="I1014" s="101">
        <v>10.720887245841</v>
      </c>
      <c r="J1014" s="1"/>
    </row>
    <row r="1015" spans="1:10" x14ac:dyDescent="0.2">
      <c r="A1015" s="65">
        <v>120</v>
      </c>
      <c r="B1015" s="66" t="s">
        <v>386</v>
      </c>
      <c r="C1015" s="2" t="s">
        <v>7</v>
      </c>
      <c r="D1015" s="1" t="s">
        <v>20</v>
      </c>
      <c r="E1015" s="1" t="s">
        <v>372</v>
      </c>
      <c r="F1015" s="1" t="s">
        <v>373</v>
      </c>
      <c r="G1015" s="70">
        <v>0</v>
      </c>
      <c r="I1015" s="101">
        <v>1.0114192495921599</v>
      </c>
      <c r="J1015" s="1"/>
    </row>
    <row r="1016" spans="1:10" x14ac:dyDescent="0.2">
      <c r="A1016" s="65">
        <v>120</v>
      </c>
      <c r="B1016" s="66" t="s">
        <v>386</v>
      </c>
      <c r="C1016" s="2" t="s">
        <v>7</v>
      </c>
      <c r="D1016" s="1" t="s">
        <v>20</v>
      </c>
      <c r="E1016" s="1" t="s">
        <v>372</v>
      </c>
      <c r="F1016" s="1" t="s">
        <v>373</v>
      </c>
      <c r="G1016" s="70">
        <v>0.04</v>
      </c>
      <c r="I1016" s="101">
        <v>1.1745513866231601</v>
      </c>
      <c r="J1016" s="1"/>
    </row>
    <row r="1017" spans="1:10" x14ac:dyDescent="0.2">
      <c r="A1017" s="65">
        <v>120</v>
      </c>
      <c r="B1017" s="66" t="s">
        <v>386</v>
      </c>
      <c r="C1017" s="2" t="s">
        <v>7</v>
      </c>
      <c r="D1017" s="1" t="s">
        <v>20</v>
      </c>
      <c r="E1017" s="1" t="s">
        <v>372</v>
      </c>
      <c r="F1017" s="1" t="s">
        <v>373</v>
      </c>
      <c r="G1017" s="70">
        <v>0.4</v>
      </c>
      <c r="I1017" s="101">
        <v>1.7781402936378401</v>
      </c>
      <c r="J1017" s="1"/>
    </row>
    <row r="1018" spans="1:10" x14ac:dyDescent="0.2">
      <c r="A1018" s="65">
        <v>120</v>
      </c>
      <c r="B1018" s="66" t="s">
        <v>386</v>
      </c>
      <c r="C1018" s="2" t="s">
        <v>7</v>
      </c>
      <c r="D1018" s="1" t="s">
        <v>20</v>
      </c>
      <c r="E1018" s="1" t="s">
        <v>372</v>
      </c>
      <c r="F1018" s="1" t="s">
        <v>373</v>
      </c>
      <c r="G1018" s="70">
        <v>1.6</v>
      </c>
      <c r="I1018" s="101">
        <v>4.7634584013050496</v>
      </c>
      <c r="J1018" s="1"/>
    </row>
    <row r="1019" spans="1:10" x14ac:dyDescent="0.2">
      <c r="A1019" s="65">
        <v>120</v>
      </c>
      <c r="B1019" s="66" t="s">
        <v>386</v>
      </c>
      <c r="C1019" s="2" t="s">
        <v>7</v>
      </c>
      <c r="D1019" s="1" t="s">
        <v>20</v>
      </c>
      <c r="E1019" s="1" t="s">
        <v>372</v>
      </c>
      <c r="F1019" s="1" t="s">
        <v>373</v>
      </c>
      <c r="G1019" s="70">
        <v>4</v>
      </c>
      <c r="I1019" s="101">
        <v>4.2251223491027696</v>
      </c>
      <c r="J1019" s="1"/>
    </row>
    <row r="1020" spans="1:10" x14ac:dyDescent="0.2">
      <c r="A1020" s="65">
        <v>120</v>
      </c>
      <c r="B1020" s="66" t="s">
        <v>244</v>
      </c>
      <c r="C1020" s="2" t="s">
        <v>7</v>
      </c>
      <c r="D1020" s="1" t="s">
        <v>20</v>
      </c>
      <c r="E1020" s="1" t="s">
        <v>372</v>
      </c>
      <c r="F1020" s="1" t="s">
        <v>373</v>
      </c>
      <c r="G1020" s="70">
        <v>0</v>
      </c>
      <c r="I1020" s="101">
        <v>1.0480349344977999</v>
      </c>
      <c r="J1020" s="1"/>
    </row>
    <row r="1021" spans="1:10" x14ac:dyDescent="0.2">
      <c r="A1021" s="65">
        <v>120</v>
      </c>
      <c r="B1021" s="66" t="s">
        <v>244</v>
      </c>
      <c r="C1021" s="2" t="s">
        <v>7</v>
      </c>
      <c r="D1021" s="1" t="s">
        <v>20</v>
      </c>
      <c r="E1021" s="1" t="s">
        <v>372</v>
      </c>
      <c r="F1021" s="1" t="s">
        <v>373</v>
      </c>
      <c r="G1021" s="70">
        <v>0.04</v>
      </c>
      <c r="I1021" s="101">
        <v>2.4890829694322898</v>
      </c>
      <c r="J1021" s="1"/>
    </row>
    <row r="1022" spans="1:10" x14ac:dyDescent="0.2">
      <c r="A1022" s="65">
        <v>120</v>
      </c>
      <c r="B1022" s="66" t="s">
        <v>244</v>
      </c>
      <c r="C1022" s="2" t="s">
        <v>7</v>
      </c>
      <c r="D1022" s="1" t="s">
        <v>20</v>
      </c>
      <c r="E1022" s="1" t="s">
        <v>372</v>
      </c>
      <c r="F1022" s="1" t="s">
        <v>373</v>
      </c>
      <c r="G1022" s="70">
        <v>0.4</v>
      </c>
      <c r="I1022" s="101">
        <v>4.9781659388646302</v>
      </c>
      <c r="J1022" s="1"/>
    </row>
    <row r="1023" spans="1:10" x14ac:dyDescent="0.2">
      <c r="A1023" s="65">
        <v>120</v>
      </c>
      <c r="B1023" s="66" t="s">
        <v>244</v>
      </c>
      <c r="C1023" s="2" t="s">
        <v>7</v>
      </c>
      <c r="D1023" s="1" t="s">
        <v>20</v>
      </c>
      <c r="E1023" s="1" t="s">
        <v>372</v>
      </c>
      <c r="F1023" s="1" t="s">
        <v>373</v>
      </c>
      <c r="G1023" s="70">
        <v>1.6</v>
      </c>
      <c r="I1023" s="101">
        <v>5.3711790393012997</v>
      </c>
      <c r="J1023" s="1"/>
    </row>
    <row r="1024" spans="1:10" x14ac:dyDescent="0.2">
      <c r="A1024" s="65">
        <v>120</v>
      </c>
      <c r="B1024" s="66" t="s">
        <v>391</v>
      </c>
      <c r="C1024" s="2" t="s">
        <v>7</v>
      </c>
      <c r="D1024" s="1" t="s">
        <v>20</v>
      </c>
      <c r="E1024" s="1" t="s">
        <v>372</v>
      </c>
      <c r="F1024" s="1" t="s">
        <v>373</v>
      </c>
      <c r="G1024" s="70">
        <v>0</v>
      </c>
      <c r="I1024" s="101">
        <v>1.1973392461197401</v>
      </c>
      <c r="J1024" s="1"/>
    </row>
    <row r="1025" spans="1:10" x14ac:dyDescent="0.2">
      <c r="A1025" s="65">
        <v>120</v>
      </c>
      <c r="B1025" s="66" t="s">
        <v>391</v>
      </c>
      <c r="C1025" s="2" t="s">
        <v>7</v>
      </c>
      <c r="D1025" s="1" t="s">
        <v>20</v>
      </c>
      <c r="E1025" s="1" t="s">
        <v>372</v>
      </c>
      <c r="F1025" s="1" t="s">
        <v>373</v>
      </c>
      <c r="G1025" s="70">
        <v>0.04</v>
      </c>
      <c r="I1025" s="101">
        <v>1.1973392461197401</v>
      </c>
      <c r="J1025" s="1"/>
    </row>
    <row r="1026" spans="1:10" x14ac:dyDescent="0.2">
      <c r="A1026" s="65">
        <v>120</v>
      </c>
      <c r="B1026" s="66" t="s">
        <v>391</v>
      </c>
      <c r="C1026" s="2" t="s">
        <v>7</v>
      </c>
      <c r="D1026" s="1" t="s">
        <v>20</v>
      </c>
      <c r="E1026" s="1" t="s">
        <v>372</v>
      </c>
      <c r="F1026" s="1" t="s">
        <v>373</v>
      </c>
      <c r="G1026" s="70">
        <v>0.4</v>
      </c>
      <c r="I1026" s="101">
        <v>2.5277161862527802</v>
      </c>
      <c r="J1026" s="1"/>
    </row>
    <row r="1027" spans="1:10" x14ac:dyDescent="0.2">
      <c r="A1027" s="65">
        <v>120</v>
      </c>
      <c r="B1027" s="66" t="s">
        <v>391</v>
      </c>
      <c r="C1027" s="2" t="s">
        <v>7</v>
      </c>
      <c r="D1027" s="1" t="s">
        <v>20</v>
      </c>
      <c r="E1027" s="1" t="s">
        <v>372</v>
      </c>
      <c r="F1027" s="1" t="s">
        <v>373</v>
      </c>
      <c r="G1027" s="70">
        <v>1.6</v>
      </c>
      <c r="I1027" s="101">
        <v>5.8536585365853604</v>
      </c>
      <c r="J1027" s="1"/>
    </row>
    <row r="1028" spans="1:10" x14ac:dyDescent="0.2">
      <c r="A1028" s="65">
        <v>120</v>
      </c>
      <c r="B1028" s="66" t="s">
        <v>391</v>
      </c>
      <c r="C1028" s="2" t="s">
        <v>7</v>
      </c>
      <c r="D1028" s="1" t="s">
        <v>20</v>
      </c>
      <c r="E1028" s="1" t="s">
        <v>372</v>
      </c>
      <c r="F1028" s="1" t="s">
        <v>373</v>
      </c>
      <c r="G1028" s="70">
        <v>4</v>
      </c>
      <c r="I1028" s="101">
        <v>8.3813747228381494</v>
      </c>
      <c r="J1028" s="1"/>
    </row>
    <row r="1029" spans="1:10" x14ac:dyDescent="0.2">
      <c r="A1029" s="65">
        <v>120</v>
      </c>
      <c r="B1029" s="66" t="s">
        <v>390</v>
      </c>
      <c r="C1029" s="2" t="s">
        <v>7</v>
      </c>
      <c r="D1029" s="1" t="s">
        <v>20</v>
      </c>
      <c r="E1029" s="1" t="s">
        <v>372</v>
      </c>
      <c r="F1029" s="1" t="s">
        <v>373</v>
      </c>
      <c r="G1029" s="70">
        <v>0</v>
      </c>
      <c r="I1029" s="101">
        <v>1.0643015521064301</v>
      </c>
      <c r="J1029" s="1"/>
    </row>
    <row r="1030" spans="1:10" x14ac:dyDescent="0.2">
      <c r="A1030" s="65">
        <v>120</v>
      </c>
      <c r="B1030" s="66" t="s">
        <v>390</v>
      </c>
      <c r="C1030" s="2" t="s">
        <v>7</v>
      </c>
      <c r="D1030" s="1" t="s">
        <v>20</v>
      </c>
      <c r="E1030" s="1" t="s">
        <v>372</v>
      </c>
      <c r="F1030" s="1" t="s">
        <v>373</v>
      </c>
      <c r="G1030" s="70">
        <v>0.04</v>
      </c>
      <c r="I1030" s="101">
        <v>1.9955654101995599</v>
      </c>
      <c r="J1030" s="1"/>
    </row>
    <row r="1031" spans="1:10" x14ac:dyDescent="0.2">
      <c r="A1031" s="65">
        <v>120</v>
      </c>
      <c r="B1031" s="66" t="s">
        <v>390</v>
      </c>
      <c r="C1031" s="2" t="s">
        <v>7</v>
      </c>
      <c r="D1031" s="1" t="s">
        <v>20</v>
      </c>
      <c r="E1031" s="1" t="s">
        <v>372</v>
      </c>
      <c r="F1031" s="1" t="s">
        <v>373</v>
      </c>
      <c r="G1031" s="70">
        <v>0.4</v>
      </c>
      <c r="I1031" s="101">
        <v>1.9955654101995599</v>
      </c>
      <c r="J1031" s="1"/>
    </row>
    <row r="1032" spans="1:10" x14ac:dyDescent="0.2">
      <c r="A1032" s="65">
        <v>120</v>
      </c>
      <c r="B1032" s="66" t="s">
        <v>390</v>
      </c>
      <c r="C1032" s="2" t="s">
        <v>7</v>
      </c>
      <c r="D1032" s="1" t="s">
        <v>20</v>
      </c>
      <c r="E1032" s="1" t="s">
        <v>372</v>
      </c>
      <c r="F1032" s="1" t="s">
        <v>373</v>
      </c>
      <c r="G1032" s="70">
        <v>1.6</v>
      </c>
      <c r="I1032" s="101">
        <v>4.3902439024390398</v>
      </c>
      <c r="J1032" s="1"/>
    </row>
    <row r="1033" spans="1:10" x14ac:dyDescent="0.2">
      <c r="A1033" s="65">
        <v>120</v>
      </c>
      <c r="B1033" s="66" t="s">
        <v>390</v>
      </c>
      <c r="C1033" s="2" t="s">
        <v>7</v>
      </c>
      <c r="D1033" s="1" t="s">
        <v>20</v>
      </c>
      <c r="E1033" s="1" t="s">
        <v>372</v>
      </c>
      <c r="F1033" s="1" t="s">
        <v>373</v>
      </c>
      <c r="G1033" s="70">
        <v>4</v>
      </c>
      <c r="I1033" s="101">
        <v>9.9778270509977904</v>
      </c>
      <c r="J1033" s="1"/>
    </row>
    <row r="1034" spans="1:10" x14ac:dyDescent="0.2">
      <c r="A1034" s="65">
        <v>121</v>
      </c>
      <c r="B1034" s="66" t="s">
        <v>374</v>
      </c>
      <c r="C1034" s="2" t="s">
        <v>7</v>
      </c>
      <c r="D1034" s="1" t="s">
        <v>8</v>
      </c>
      <c r="E1034" s="2" t="s">
        <v>7</v>
      </c>
      <c r="F1034" s="1" t="s">
        <v>9</v>
      </c>
      <c r="G1034" s="70">
        <v>0</v>
      </c>
      <c r="I1034" s="101">
        <v>1</v>
      </c>
      <c r="J1034" s="1"/>
    </row>
    <row r="1035" spans="1:10" x14ac:dyDescent="0.2">
      <c r="A1035" s="65">
        <v>121</v>
      </c>
      <c r="B1035" s="66" t="s">
        <v>374</v>
      </c>
      <c r="C1035" s="2" t="s">
        <v>7</v>
      </c>
      <c r="D1035" s="1" t="s">
        <v>8</v>
      </c>
      <c r="E1035" s="2" t="s">
        <v>7</v>
      </c>
      <c r="F1035" s="1" t="s">
        <v>9</v>
      </c>
      <c r="G1035" s="70">
        <v>1.0000000000000001E-5</v>
      </c>
      <c r="I1035" s="101">
        <v>0.91229838709677402</v>
      </c>
      <c r="J1035" s="1"/>
    </row>
    <row r="1036" spans="1:10" x14ac:dyDescent="0.2">
      <c r="A1036" s="65">
        <v>121</v>
      </c>
      <c r="B1036" s="66" t="s">
        <v>374</v>
      </c>
      <c r="C1036" s="2" t="s">
        <v>7</v>
      </c>
      <c r="D1036" s="1" t="s">
        <v>8</v>
      </c>
      <c r="E1036" s="2" t="s">
        <v>7</v>
      </c>
      <c r="F1036" s="1" t="s">
        <v>9</v>
      </c>
      <c r="G1036" s="70">
        <v>1E-4</v>
      </c>
      <c r="I1036" s="101">
        <v>0.66129032258064402</v>
      </c>
      <c r="J1036" s="1"/>
    </row>
    <row r="1037" spans="1:10" x14ac:dyDescent="0.2">
      <c r="A1037" s="65">
        <v>121</v>
      </c>
      <c r="B1037" s="66" t="s">
        <v>374</v>
      </c>
      <c r="C1037" s="2" t="s">
        <v>7</v>
      </c>
      <c r="D1037" s="1" t="s">
        <v>8</v>
      </c>
      <c r="E1037" s="2" t="s">
        <v>7</v>
      </c>
      <c r="F1037" s="1" t="s">
        <v>9</v>
      </c>
      <c r="G1037" s="70">
        <v>1E-3</v>
      </c>
      <c r="I1037" s="101">
        <v>0.48891129032258002</v>
      </c>
      <c r="J1037" s="1"/>
    </row>
    <row r="1038" spans="1:10" x14ac:dyDescent="0.2">
      <c r="A1038" s="65">
        <v>121</v>
      </c>
      <c r="B1038" s="66" t="s">
        <v>374</v>
      </c>
      <c r="C1038" s="2" t="s">
        <v>7</v>
      </c>
      <c r="D1038" s="1" t="s">
        <v>8</v>
      </c>
      <c r="E1038" s="2" t="s">
        <v>7</v>
      </c>
      <c r="F1038" s="1" t="s">
        <v>9</v>
      </c>
      <c r="G1038" s="70">
        <v>0.01</v>
      </c>
      <c r="I1038" s="101">
        <v>0.36189516129032201</v>
      </c>
      <c r="J1038" s="1"/>
    </row>
    <row r="1039" spans="1:10" x14ac:dyDescent="0.2">
      <c r="A1039" s="65">
        <v>124</v>
      </c>
      <c r="B1039" s="66" t="s">
        <v>30</v>
      </c>
      <c r="C1039" s="2" t="s">
        <v>7</v>
      </c>
      <c r="D1039" s="1" t="s">
        <v>48</v>
      </c>
      <c r="E1039" s="2" t="s">
        <v>25</v>
      </c>
      <c r="F1039" s="1" t="s">
        <v>26</v>
      </c>
      <c r="G1039" s="70">
        <v>0</v>
      </c>
      <c r="I1039" s="101">
        <v>1</v>
      </c>
      <c r="J1039" s="1"/>
    </row>
    <row r="1040" spans="1:10" x14ac:dyDescent="0.2">
      <c r="A1040" s="65">
        <v>124</v>
      </c>
      <c r="B1040" s="66" t="s">
        <v>30</v>
      </c>
      <c r="C1040" s="2" t="s">
        <v>7</v>
      </c>
      <c r="D1040" s="1" t="s">
        <v>48</v>
      </c>
      <c r="E1040" s="2" t="s">
        <v>25</v>
      </c>
      <c r="F1040" s="1" t="s">
        <v>26</v>
      </c>
      <c r="G1040" s="70">
        <v>5.0000000000000001E-3</v>
      </c>
      <c r="I1040" s="101">
        <v>2.89402480270574</v>
      </c>
      <c r="J1040" s="1"/>
    </row>
    <row r="1041" spans="1:10" x14ac:dyDescent="0.2">
      <c r="A1041" s="65">
        <v>124</v>
      </c>
      <c r="B1041" s="66" t="s">
        <v>30</v>
      </c>
      <c r="C1041" s="2" t="s">
        <v>7</v>
      </c>
      <c r="D1041" s="1" t="s">
        <v>48</v>
      </c>
      <c r="E1041" s="2" t="s">
        <v>25</v>
      </c>
      <c r="F1041" s="1" t="s">
        <v>26</v>
      </c>
      <c r="G1041" s="70">
        <v>0.05</v>
      </c>
      <c r="I1041" s="101">
        <v>3.8320180383314502</v>
      </c>
      <c r="J1041" s="1"/>
    </row>
    <row r="1042" spans="1:10" x14ac:dyDescent="0.2">
      <c r="A1042" s="65">
        <v>124</v>
      </c>
      <c r="B1042" s="66" t="s">
        <v>30</v>
      </c>
      <c r="C1042" s="2" t="s">
        <v>7</v>
      </c>
      <c r="D1042" s="1" t="s">
        <v>48</v>
      </c>
      <c r="E1042" s="2" t="s">
        <v>25</v>
      </c>
      <c r="F1042" s="1" t="s">
        <v>26</v>
      </c>
      <c r="G1042" s="70">
        <v>0.5</v>
      </c>
      <c r="I1042" s="101">
        <v>3.4081172491544498</v>
      </c>
      <c r="J1042" s="1"/>
    </row>
    <row r="1043" spans="1:10" x14ac:dyDescent="0.2">
      <c r="A1043" s="65">
        <v>124</v>
      </c>
      <c r="B1043" s="66" t="s">
        <v>30</v>
      </c>
      <c r="C1043" s="2" t="s">
        <v>7</v>
      </c>
      <c r="D1043" s="1" t="s">
        <v>48</v>
      </c>
      <c r="E1043" s="2" t="s">
        <v>25</v>
      </c>
      <c r="F1043" s="1" t="s">
        <v>26</v>
      </c>
      <c r="G1043" s="70">
        <v>5</v>
      </c>
      <c r="I1043" s="101">
        <v>4.4272829763246904</v>
      </c>
      <c r="J1043" s="1"/>
    </row>
    <row r="1044" spans="1:10" x14ac:dyDescent="0.2">
      <c r="A1044" s="65">
        <v>124</v>
      </c>
      <c r="B1044" s="66" t="s">
        <v>30</v>
      </c>
      <c r="C1044" s="2" t="s">
        <v>7</v>
      </c>
      <c r="D1044" s="1" t="s">
        <v>48</v>
      </c>
      <c r="E1044" s="2" t="s">
        <v>25</v>
      </c>
      <c r="F1044" s="1" t="s">
        <v>26</v>
      </c>
      <c r="G1044" s="70">
        <v>50</v>
      </c>
      <c r="I1044" s="101">
        <v>8.0529875986471193</v>
      </c>
      <c r="J1044" s="1"/>
    </row>
    <row r="1045" spans="1:10" x14ac:dyDescent="0.2">
      <c r="A1045" s="65">
        <v>124</v>
      </c>
      <c r="B1045" s="66" t="s">
        <v>32</v>
      </c>
      <c r="C1045" s="2" t="s">
        <v>7</v>
      </c>
      <c r="D1045" s="1" t="s">
        <v>48</v>
      </c>
      <c r="E1045" s="2" t="s">
        <v>25</v>
      </c>
      <c r="F1045" s="1" t="s">
        <v>26</v>
      </c>
      <c r="G1045" s="70">
        <v>0</v>
      </c>
      <c r="I1045" s="101">
        <v>1</v>
      </c>
      <c r="J1045" s="1"/>
    </row>
    <row r="1046" spans="1:10" x14ac:dyDescent="0.2">
      <c r="A1046" s="65">
        <v>124</v>
      </c>
      <c r="B1046" s="66" t="s">
        <v>32</v>
      </c>
      <c r="C1046" s="2" t="s">
        <v>7</v>
      </c>
      <c r="D1046" s="1" t="s">
        <v>48</v>
      </c>
      <c r="E1046" s="2" t="s">
        <v>25</v>
      </c>
      <c r="F1046" s="1" t="s">
        <v>26</v>
      </c>
      <c r="G1046" s="70">
        <v>5.0000000000000001E-3</v>
      </c>
      <c r="I1046" s="101">
        <v>3.98534385569334</v>
      </c>
      <c r="J1046" s="1"/>
    </row>
    <row r="1047" spans="1:10" x14ac:dyDescent="0.2">
      <c r="A1047" s="65">
        <v>124</v>
      </c>
      <c r="B1047" s="66" t="s">
        <v>32</v>
      </c>
      <c r="C1047" s="2" t="s">
        <v>7</v>
      </c>
      <c r="D1047" s="1" t="s">
        <v>48</v>
      </c>
      <c r="E1047" s="2" t="s">
        <v>25</v>
      </c>
      <c r="F1047" s="1" t="s">
        <v>26</v>
      </c>
      <c r="G1047" s="70">
        <v>0.05</v>
      </c>
      <c r="I1047" s="101">
        <v>4.4182638105975203</v>
      </c>
      <c r="J1047" s="1"/>
    </row>
    <row r="1048" spans="1:10" x14ac:dyDescent="0.2">
      <c r="A1048" s="65">
        <v>124</v>
      </c>
      <c r="B1048" s="66" t="s">
        <v>32</v>
      </c>
      <c r="C1048" s="2" t="s">
        <v>7</v>
      </c>
      <c r="D1048" s="1" t="s">
        <v>48</v>
      </c>
      <c r="E1048" s="2" t="s">
        <v>25</v>
      </c>
      <c r="F1048" s="1" t="s">
        <v>26</v>
      </c>
      <c r="G1048" s="70">
        <v>0.5</v>
      </c>
      <c r="I1048" s="101">
        <v>4.0304396843291999</v>
      </c>
      <c r="J1048" s="1"/>
    </row>
    <row r="1049" spans="1:10" x14ac:dyDescent="0.2">
      <c r="A1049" s="65">
        <v>124</v>
      </c>
      <c r="B1049" s="66" t="s">
        <v>32</v>
      </c>
      <c r="C1049" s="2" t="s">
        <v>7</v>
      </c>
      <c r="D1049" s="1" t="s">
        <v>48</v>
      </c>
      <c r="E1049" s="2" t="s">
        <v>25</v>
      </c>
      <c r="F1049" s="1" t="s">
        <v>26</v>
      </c>
      <c r="G1049" s="70">
        <v>5</v>
      </c>
      <c r="I1049" s="101">
        <v>3.9492671927846601</v>
      </c>
      <c r="J1049" s="1"/>
    </row>
    <row r="1050" spans="1:10" x14ac:dyDescent="0.2">
      <c r="A1050" s="65">
        <v>124</v>
      </c>
      <c r="B1050" s="66" t="s">
        <v>32</v>
      </c>
      <c r="C1050" s="2" t="s">
        <v>7</v>
      </c>
      <c r="D1050" s="1" t="s">
        <v>48</v>
      </c>
      <c r="E1050" s="2" t="s">
        <v>25</v>
      </c>
      <c r="F1050" s="1" t="s">
        <v>26</v>
      </c>
      <c r="G1050" s="70">
        <v>50</v>
      </c>
      <c r="I1050" s="101">
        <v>3.6786922209695598</v>
      </c>
      <c r="J1050" s="1"/>
    </row>
    <row r="1051" spans="1:10" x14ac:dyDescent="0.2">
      <c r="A1051" s="65">
        <v>124</v>
      </c>
      <c r="B1051" s="66" t="s">
        <v>29</v>
      </c>
      <c r="C1051" s="2" t="s">
        <v>7</v>
      </c>
      <c r="D1051" s="1" t="s">
        <v>48</v>
      </c>
      <c r="E1051" s="2" t="s">
        <v>25</v>
      </c>
      <c r="F1051" s="1" t="s">
        <v>26</v>
      </c>
      <c r="G1051" s="70">
        <v>0</v>
      </c>
      <c r="I1051" s="101">
        <v>1</v>
      </c>
      <c r="J1051" s="1"/>
    </row>
    <row r="1052" spans="1:10" x14ac:dyDescent="0.2">
      <c r="A1052" s="65">
        <v>124</v>
      </c>
      <c r="B1052" s="66" t="s">
        <v>29</v>
      </c>
      <c r="C1052" s="2" t="s">
        <v>7</v>
      </c>
      <c r="D1052" s="1" t="s">
        <v>48</v>
      </c>
      <c r="E1052" s="2" t="s">
        <v>25</v>
      </c>
      <c r="F1052" s="1" t="s">
        <v>26</v>
      </c>
      <c r="G1052" s="70">
        <v>5.0000000000000001E-3</v>
      </c>
      <c r="I1052" s="101">
        <v>4.5355129650507298</v>
      </c>
      <c r="J1052" s="1"/>
    </row>
    <row r="1053" spans="1:10" x14ac:dyDescent="0.2">
      <c r="A1053" s="65">
        <v>124</v>
      </c>
      <c r="B1053" s="66" t="s">
        <v>29</v>
      </c>
      <c r="C1053" s="2" t="s">
        <v>7</v>
      </c>
      <c r="D1053" s="1" t="s">
        <v>48</v>
      </c>
      <c r="E1053" s="2" t="s">
        <v>25</v>
      </c>
      <c r="F1053" s="1" t="s">
        <v>26</v>
      </c>
      <c r="G1053" s="70">
        <v>0.05</v>
      </c>
      <c r="I1053" s="101">
        <v>7.25028184892897</v>
      </c>
      <c r="J1053" s="1"/>
    </row>
    <row r="1054" spans="1:10" x14ac:dyDescent="0.2">
      <c r="A1054" s="65">
        <v>124</v>
      </c>
      <c r="B1054" s="66" t="s">
        <v>29</v>
      </c>
      <c r="C1054" s="2" t="s">
        <v>7</v>
      </c>
      <c r="D1054" s="1" t="s">
        <v>48</v>
      </c>
      <c r="E1054" s="2" t="s">
        <v>25</v>
      </c>
      <c r="F1054" s="1" t="s">
        <v>26</v>
      </c>
      <c r="G1054" s="70">
        <v>0.5</v>
      </c>
      <c r="I1054" s="101">
        <v>5.15783540022547</v>
      </c>
      <c r="J1054" s="1"/>
    </row>
    <row r="1055" spans="1:10" x14ac:dyDescent="0.2">
      <c r="A1055" s="65">
        <v>124</v>
      </c>
      <c r="B1055" s="66" t="s">
        <v>29</v>
      </c>
      <c r="C1055" s="2" t="s">
        <v>7</v>
      </c>
      <c r="D1055" s="1" t="s">
        <v>48</v>
      </c>
      <c r="E1055" s="2" t="s">
        <v>25</v>
      </c>
      <c r="F1055" s="1" t="s">
        <v>26</v>
      </c>
      <c r="G1055" s="70">
        <v>5</v>
      </c>
      <c r="I1055" s="101">
        <v>5.4735062006764297</v>
      </c>
      <c r="J1055" s="1"/>
    </row>
    <row r="1056" spans="1:10" x14ac:dyDescent="0.2">
      <c r="A1056" s="65">
        <v>124</v>
      </c>
      <c r="B1056" s="66" t="s">
        <v>29</v>
      </c>
      <c r="C1056" s="2" t="s">
        <v>7</v>
      </c>
      <c r="D1056" s="1" t="s">
        <v>48</v>
      </c>
      <c r="E1056" s="2" t="s">
        <v>25</v>
      </c>
      <c r="F1056" s="1" t="s">
        <v>26</v>
      </c>
      <c r="G1056" s="70">
        <v>50</v>
      </c>
      <c r="I1056" s="101">
        <v>3.9492671927846601</v>
      </c>
      <c r="J1056" s="1"/>
    </row>
    <row r="1057" spans="1:10" x14ac:dyDescent="0.2">
      <c r="A1057" s="65">
        <v>124</v>
      </c>
      <c r="B1057" s="66" t="s">
        <v>41</v>
      </c>
      <c r="C1057" s="2" t="s">
        <v>7</v>
      </c>
      <c r="D1057" s="1" t="s">
        <v>48</v>
      </c>
      <c r="E1057" s="2" t="s">
        <v>25</v>
      </c>
      <c r="F1057" s="1" t="s">
        <v>26</v>
      </c>
      <c r="G1057" s="70">
        <v>0</v>
      </c>
      <c r="I1057" s="101">
        <v>1</v>
      </c>
      <c r="J1057" s="1"/>
    </row>
    <row r="1058" spans="1:10" x14ac:dyDescent="0.2">
      <c r="A1058" s="65">
        <v>124</v>
      </c>
      <c r="B1058" s="66" t="s">
        <v>41</v>
      </c>
      <c r="C1058" s="2" t="s">
        <v>7</v>
      </c>
      <c r="D1058" s="1" t="s">
        <v>48</v>
      </c>
      <c r="E1058" s="2" t="s">
        <v>25</v>
      </c>
      <c r="F1058" s="1" t="s">
        <v>26</v>
      </c>
      <c r="G1058" s="70">
        <v>5.0000000000000001E-3</v>
      </c>
      <c r="I1058" s="101">
        <v>1.04509582863585</v>
      </c>
      <c r="J1058" s="1"/>
    </row>
    <row r="1059" spans="1:10" x14ac:dyDescent="0.2">
      <c r="A1059" s="65">
        <v>124</v>
      </c>
      <c r="B1059" s="66" t="s">
        <v>41</v>
      </c>
      <c r="C1059" s="2" t="s">
        <v>7</v>
      </c>
      <c r="D1059" s="1" t="s">
        <v>48</v>
      </c>
      <c r="E1059" s="2" t="s">
        <v>25</v>
      </c>
      <c r="F1059" s="1" t="s">
        <v>26</v>
      </c>
      <c r="G1059" s="70">
        <v>0.05</v>
      </c>
      <c r="I1059" s="101">
        <v>1.3337091319052901</v>
      </c>
      <c r="J1059" s="1"/>
    </row>
    <row r="1060" spans="1:10" x14ac:dyDescent="0.2">
      <c r="A1060" s="65">
        <v>124</v>
      </c>
      <c r="B1060" s="66" t="s">
        <v>41</v>
      </c>
      <c r="C1060" s="2" t="s">
        <v>7</v>
      </c>
      <c r="D1060" s="1" t="s">
        <v>48</v>
      </c>
      <c r="E1060" s="2" t="s">
        <v>25</v>
      </c>
      <c r="F1060" s="1" t="s">
        <v>26</v>
      </c>
      <c r="G1060" s="70">
        <v>0.5</v>
      </c>
      <c r="I1060" s="101">
        <v>1.1533258173618901</v>
      </c>
      <c r="J1060" s="1"/>
    </row>
    <row r="1061" spans="1:10" x14ac:dyDescent="0.2">
      <c r="A1061" s="65">
        <v>124</v>
      </c>
      <c r="B1061" s="66" t="s">
        <v>41</v>
      </c>
      <c r="C1061" s="2" t="s">
        <v>7</v>
      </c>
      <c r="D1061" s="1" t="s">
        <v>48</v>
      </c>
      <c r="E1061" s="2" t="s">
        <v>25</v>
      </c>
      <c r="F1061" s="1" t="s">
        <v>26</v>
      </c>
      <c r="G1061" s="70">
        <v>5</v>
      </c>
      <c r="I1061" s="101">
        <v>1.72153325817361</v>
      </c>
      <c r="J1061" s="1"/>
    </row>
    <row r="1062" spans="1:10" x14ac:dyDescent="0.2">
      <c r="A1062" s="65">
        <v>124</v>
      </c>
      <c r="B1062" s="66" t="s">
        <v>41</v>
      </c>
      <c r="C1062" s="2" t="s">
        <v>7</v>
      </c>
      <c r="D1062" s="1" t="s">
        <v>48</v>
      </c>
      <c r="E1062" s="2" t="s">
        <v>25</v>
      </c>
      <c r="F1062" s="1" t="s">
        <v>26</v>
      </c>
      <c r="G1062" s="70">
        <v>50</v>
      </c>
      <c r="I1062" s="101">
        <v>2.0462232243517402</v>
      </c>
      <c r="J1062" s="1"/>
    </row>
    <row r="1063" spans="1:10" x14ac:dyDescent="0.2">
      <c r="A1063" s="65">
        <v>124</v>
      </c>
      <c r="B1063" s="66" t="s">
        <v>33</v>
      </c>
      <c r="C1063" s="2" t="s">
        <v>7</v>
      </c>
      <c r="D1063" s="1" t="s">
        <v>48</v>
      </c>
      <c r="E1063" s="2" t="s">
        <v>25</v>
      </c>
      <c r="F1063" s="1" t="s">
        <v>26</v>
      </c>
      <c r="G1063" s="70">
        <v>0</v>
      </c>
      <c r="I1063" s="101">
        <v>1</v>
      </c>
      <c r="J1063" s="1"/>
    </row>
    <row r="1064" spans="1:10" x14ac:dyDescent="0.2">
      <c r="A1064" s="65">
        <v>124</v>
      </c>
      <c r="B1064" s="66" t="s">
        <v>33</v>
      </c>
      <c r="C1064" s="2" t="s">
        <v>7</v>
      </c>
      <c r="D1064" s="1" t="s">
        <v>48</v>
      </c>
      <c r="E1064" s="2" t="s">
        <v>25</v>
      </c>
      <c r="F1064" s="1" t="s">
        <v>26</v>
      </c>
      <c r="G1064" s="70">
        <v>5.0000000000000001E-3</v>
      </c>
      <c r="I1064" s="101">
        <v>1.4599774520856801</v>
      </c>
      <c r="J1064" s="1"/>
    </row>
    <row r="1065" spans="1:10" x14ac:dyDescent="0.2">
      <c r="A1065" s="65">
        <v>124</v>
      </c>
      <c r="B1065" s="66" t="s">
        <v>33</v>
      </c>
      <c r="C1065" s="2" t="s">
        <v>7</v>
      </c>
      <c r="D1065" s="1" t="s">
        <v>48</v>
      </c>
      <c r="E1065" s="2" t="s">
        <v>25</v>
      </c>
      <c r="F1065" s="1" t="s">
        <v>26</v>
      </c>
      <c r="G1065" s="70">
        <v>0.05</v>
      </c>
      <c r="I1065" s="101">
        <v>1.30665163472378</v>
      </c>
      <c r="J1065" s="1"/>
    </row>
    <row r="1066" spans="1:10" x14ac:dyDescent="0.2">
      <c r="A1066" s="65">
        <v>124</v>
      </c>
      <c r="B1066" s="66" t="s">
        <v>33</v>
      </c>
      <c r="C1066" s="2" t="s">
        <v>7</v>
      </c>
      <c r="D1066" s="1" t="s">
        <v>48</v>
      </c>
      <c r="E1066" s="2" t="s">
        <v>25</v>
      </c>
      <c r="F1066" s="1" t="s">
        <v>26</v>
      </c>
      <c r="G1066" s="70">
        <v>0.5</v>
      </c>
      <c r="I1066" s="101">
        <v>1.49605411499436</v>
      </c>
      <c r="J1066" s="1"/>
    </row>
    <row r="1067" spans="1:10" x14ac:dyDescent="0.2">
      <c r="A1067" s="65">
        <v>124</v>
      </c>
      <c r="B1067" s="66" t="s">
        <v>33</v>
      </c>
      <c r="C1067" s="2" t="s">
        <v>7</v>
      </c>
      <c r="D1067" s="1" t="s">
        <v>48</v>
      </c>
      <c r="E1067" s="2" t="s">
        <v>25</v>
      </c>
      <c r="F1067" s="1" t="s">
        <v>26</v>
      </c>
      <c r="G1067" s="70">
        <v>5</v>
      </c>
      <c r="I1067" s="101">
        <v>1.30665163472378</v>
      </c>
      <c r="J1067" s="1"/>
    </row>
    <row r="1068" spans="1:10" x14ac:dyDescent="0.2">
      <c r="A1068" s="65">
        <v>124</v>
      </c>
      <c r="B1068" s="66" t="s">
        <v>33</v>
      </c>
      <c r="C1068" s="2" t="s">
        <v>7</v>
      </c>
      <c r="D1068" s="1" t="s">
        <v>48</v>
      </c>
      <c r="E1068" s="2" t="s">
        <v>25</v>
      </c>
      <c r="F1068" s="1" t="s">
        <v>26</v>
      </c>
      <c r="G1068" s="70">
        <v>50</v>
      </c>
      <c r="I1068" s="101">
        <v>1.88387824126268</v>
      </c>
      <c r="J1068" s="1"/>
    </row>
    <row r="1069" spans="1:10" x14ac:dyDescent="0.2">
      <c r="A1069" s="65">
        <v>124</v>
      </c>
      <c r="B1069" s="66" t="s">
        <v>31</v>
      </c>
      <c r="C1069" s="2" t="s">
        <v>7</v>
      </c>
      <c r="D1069" s="1" t="s">
        <v>48</v>
      </c>
      <c r="E1069" s="2" t="s">
        <v>25</v>
      </c>
      <c r="F1069" s="1" t="s">
        <v>26</v>
      </c>
      <c r="G1069" s="70">
        <v>0</v>
      </c>
      <c r="I1069" s="101">
        <v>0.99098083427282901</v>
      </c>
      <c r="J1069" s="1"/>
    </row>
    <row r="1070" spans="1:10" x14ac:dyDescent="0.2">
      <c r="A1070" s="65">
        <v>124</v>
      </c>
      <c r="B1070" s="66" t="s">
        <v>31</v>
      </c>
      <c r="C1070" s="2" t="s">
        <v>7</v>
      </c>
      <c r="D1070" s="1" t="s">
        <v>48</v>
      </c>
      <c r="E1070" s="2" t="s">
        <v>25</v>
      </c>
      <c r="F1070" s="1" t="s">
        <v>26</v>
      </c>
      <c r="G1070" s="70">
        <v>0.01</v>
      </c>
      <c r="I1070" s="101">
        <v>0.98196166854565803</v>
      </c>
      <c r="J1070" s="1"/>
    </row>
    <row r="1071" spans="1:10" x14ac:dyDescent="0.2">
      <c r="A1071" s="65">
        <v>124</v>
      </c>
      <c r="B1071" s="66" t="s">
        <v>31</v>
      </c>
      <c r="C1071" s="2" t="s">
        <v>7</v>
      </c>
      <c r="D1071" s="1" t="s">
        <v>48</v>
      </c>
      <c r="E1071" s="2" t="s">
        <v>25</v>
      </c>
      <c r="F1071" s="1" t="s">
        <v>26</v>
      </c>
      <c r="G1071" s="70">
        <v>0.1</v>
      </c>
      <c r="I1071" s="101">
        <v>1.0090191657271601</v>
      </c>
      <c r="J1071" s="1"/>
    </row>
    <row r="1072" spans="1:10" x14ac:dyDescent="0.2">
      <c r="A1072" s="65">
        <v>124</v>
      </c>
      <c r="B1072" s="66" t="s">
        <v>31</v>
      </c>
      <c r="C1072" s="2" t="s">
        <v>7</v>
      </c>
      <c r="D1072" s="1" t="s">
        <v>48</v>
      </c>
      <c r="E1072" s="2" t="s">
        <v>25</v>
      </c>
      <c r="F1072" s="1" t="s">
        <v>26</v>
      </c>
      <c r="G1072" s="70">
        <v>1</v>
      </c>
      <c r="I1072" s="101">
        <v>1.12626832018038</v>
      </c>
      <c r="J1072" s="1"/>
    </row>
    <row r="1073" spans="1:10" x14ac:dyDescent="0.2">
      <c r="A1073" s="65">
        <v>124</v>
      </c>
      <c r="B1073" s="66" t="s">
        <v>31</v>
      </c>
      <c r="C1073" s="2" t="s">
        <v>7</v>
      </c>
      <c r="D1073" s="1" t="s">
        <v>48</v>
      </c>
      <c r="E1073" s="2" t="s">
        <v>25</v>
      </c>
      <c r="F1073" s="1" t="s">
        <v>26</v>
      </c>
      <c r="G1073" s="70">
        <v>5</v>
      </c>
      <c r="I1073" s="101">
        <v>1.2976324689966099</v>
      </c>
      <c r="J1073" s="1"/>
    </row>
    <row r="1074" spans="1:10" x14ac:dyDescent="0.2">
      <c r="A1074" s="65">
        <v>124</v>
      </c>
      <c r="B1074" s="66" t="s">
        <v>31</v>
      </c>
      <c r="C1074" s="2" t="s">
        <v>7</v>
      </c>
      <c r="D1074" s="1" t="s">
        <v>48</v>
      </c>
      <c r="E1074" s="2" t="s">
        <v>25</v>
      </c>
      <c r="F1074" s="1" t="s">
        <v>26</v>
      </c>
      <c r="G1074" s="70">
        <v>50</v>
      </c>
      <c r="I1074" s="101">
        <v>1.2976324689966099</v>
      </c>
      <c r="J1074" s="1"/>
    </row>
    <row r="1075" spans="1:10" x14ac:dyDescent="0.2">
      <c r="A1075" s="65">
        <v>124</v>
      </c>
      <c r="B1075" s="66" t="s">
        <v>30</v>
      </c>
      <c r="C1075" s="2" t="s">
        <v>25</v>
      </c>
      <c r="D1075" s="1" t="s">
        <v>48</v>
      </c>
      <c r="E1075" s="2" t="s">
        <v>7</v>
      </c>
      <c r="F1075" s="1" t="s">
        <v>9</v>
      </c>
      <c r="G1075" s="70">
        <v>0</v>
      </c>
      <c r="I1075" s="101">
        <v>1.0008561643835601</v>
      </c>
      <c r="J1075" s="1"/>
    </row>
    <row r="1076" spans="1:10" x14ac:dyDescent="0.2">
      <c r="A1076" s="65">
        <v>124</v>
      </c>
      <c r="B1076" s="66" t="s">
        <v>30</v>
      </c>
      <c r="C1076" s="2" t="s">
        <v>25</v>
      </c>
      <c r="D1076" s="1" t="s">
        <v>48</v>
      </c>
      <c r="E1076" s="2" t="s">
        <v>7</v>
      </c>
      <c r="F1076" s="1" t="s">
        <v>9</v>
      </c>
      <c r="G1076" s="70">
        <v>0.5</v>
      </c>
      <c r="I1076" s="101">
        <v>1.3912671232876701</v>
      </c>
      <c r="J1076" s="1"/>
    </row>
    <row r="1077" spans="1:10" x14ac:dyDescent="0.2">
      <c r="A1077" s="65">
        <v>124</v>
      </c>
      <c r="B1077" s="66" t="s">
        <v>32</v>
      </c>
      <c r="C1077" s="2" t="s">
        <v>25</v>
      </c>
      <c r="D1077" s="1" t="s">
        <v>48</v>
      </c>
      <c r="E1077" s="2" t="s">
        <v>7</v>
      </c>
      <c r="F1077" s="1" t="s">
        <v>9</v>
      </c>
      <c r="G1077" s="70">
        <v>0</v>
      </c>
      <c r="I1077" s="101">
        <v>1.0008561643835601</v>
      </c>
      <c r="J1077" s="1"/>
    </row>
    <row r="1078" spans="1:10" x14ac:dyDescent="0.2">
      <c r="A1078" s="65">
        <v>124</v>
      </c>
      <c r="B1078" s="66" t="s">
        <v>32</v>
      </c>
      <c r="C1078" s="2" t="s">
        <v>25</v>
      </c>
      <c r="D1078" s="1" t="s">
        <v>48</v>
      </c>
      <c r="E1078" s="2" t="s">
        <v>7</v>
      </c>
      <c r="F1078" s="1" t="s">
        <v>9</v>
      </c>
      <c r="G1078" s="70">
        <v>0.5</v>
      </c>
      <c r="I1078" s="101">
        <v>1.4631849315068399</v>
      </c>
      <c r="J1078" s="1"/>
    </row>
    <row r="1079" spans="1:10" x14ac:dyDescent="0.2">
      <c r="A1079" s="65">
        <v>124</v>
      </c>
      <c r="B1079" s="66" t="s">
        <v>29</v>
      </c>
      <c r="C1079" s="2" t="s">
        <v>25</v>
      </c>
      <c r="D1079" s="1" t="s">
        <v>48</v>
      </c>
      <c r="E1079" s="2" t="s">
        <v>7</v>
      </c>
      <c r="F1079" s="1" t="s">
        <v>9</v>
      </c>
      <c r="G1079" s="70">
        <v>0</v>
      </c>
      <c r="I1079" s="101">
        <v>1.0008561643835601</v>
      </c>
      <c r="J1079" s="1"/>
    </row>
    <row r="1080" spans="1:10" x14ac:dyDescent="0.2">
      <c r="A1080" s="65">
        <v>124</v>
      </c>
      <c r="B1080" s="66" t="s">
        <v>29</v>
      </c>
      <c r="C1080" s="2" t="s">
        <v>25</v>
      </c>
      <c r="D1080" s="1" t="s">
        <v>48</v>
      </c>
      <c r="E1080" s="2" t="s">
        <v>7</v>
      </c>
      <c r="F1080" s="1" t="s">
        <v>9</v>
      </c>
      <c r="G1080" s="70">
        <v>0.5</v>
      </c>
      <c r="I1080" s="101">
        <v>1.8202054794520499</v>
      </c>
      <c r="J1080" s="1"/>
    </row>
    <row r="1081" spans="1:10" x14ac:dyDescent="0.2">
      <c r="A1081" s="65">
        <v>124</v>
      </c>
      <c r="B1081" s="66" t="s">
        <v>41</v>
      </c>
      <c r="C1081" s="2" t="s">
        <v>25</v>
      </c>
      <c r="D1081" s="1" t="s">
        <v>48</v>
      </c>
      <c r="E1081" s="2" t="s">
        <v>7</v>
      </c>
      <c r="F1081" s="1" t="s">
        <v>9</v>
      </c>
      <c r="G1081" s="70">
        <v>0</v>
      </c>
      <c r="I1081" s="101">
        <v>1.0008561643835601</v>
      </c>
      <c r="J1081" s="1"/>
    </row>
    <row r="1082" spans="1:10" x14ac:dyDescent="0.2">
      <c r="A1082" s="65">
        <v>124</v>
      </c>
      <c r="B1082" s="66" t="s">
        <v>41</v>
      </c>
      <c r="C1082" s="2" t="s">
        <v>25</v>
      </c>
      <c r="D1082" s="1" t="s">
        <v>48</v>
      </c>
      <c r="E1082" s="2" t="s">
        <v>7</v>
      </c>
      <c r="F1082" s="1" t="s">
        <v>9</v>
      </c>
      <c r="G1082" s="70">
        <v>0.5</v>
      </c>
      <c r="I1082" s="101">
        <v>1.2448630136986201</v>
      </c>
      <c r="J1082" s="1"/>
    </row>
    <row r="1083" spans="1:10" x14ac:dyDescent="0.2">
      <c r="A1083" s="65">
        <v>124</v>
      </c>
      <c r="B1083" s="66" t="s">
        <v>33</v>
      </c>
      <c r="C1083" s="2" t="s">
        <v>25</v>
      </c>
      <c r="D1083" s="1" t="s">
        <v>48</v>
      </c>
      <c r="E1083" s="2" t="s">
        <v>7</v>
      </c>
      <c r="F1083" s="1" t="s">
        <v>9</v>
      </c>
      <c r="G1083" s="70">
        <v>0</v>
      </c>
      <c r="I1083" s="101">
        <v>1.0008561643835601</v>
      </c>
      <c r="J1083" s="1"/>
    </row>
    <row r="1084" spans="1:10" x14ac:dyDescent="0.2">
      <c r="A1084" s="65">
        <v>124</v>
      </c>
      <c r="B1084" s="66" t="s">
        <v>33</v>
      </c>
      <c r="C1084" s="2" t="s">
        <v>25</v>
      </c>
      <c r="D1084" s="1" t="s">
        <v>48</v>
      </c>
      <c r="E1084" s="2" t="s">
        <v>7</v>
      </c>
      <c r="F1084" s="1" t="s">
        <v>9</v>
      </c>
      <c r="G1084" s="70">
        <v>0.5</v>
      </c>
      <c r="I1084" s="101">
        <v>1.3116438356164299</v>
      </c>
      <c r="J1084" s="1"/>
    </row>
    <row r="1085" spans="1:10" x14ac:dyDescent="0.2">
      <c r="A1085" s="65">
        <v>124</v>
      </c>
      <c r="B1085" s="66" t="s">
        <v>31</v>
      </c>
      <c r="C1085" s="2" t="s">
        <v>25</v>
      </c>
      <c r="D1085" s="1" t="s">
        <v>48</v>
      </c>
      <c r="E1085" s="2" t="s">
        <v>7</v>
      </c>
      <c r="F1085" s="1" t="s">
        <v>9</v>
      </c>
      <c r="G1085" s="70">
        <v>0</v>
      </c>
      <c r="I1085" s="101">
        <v>1.0008561643835601</v>
      </c>
      <c r="J1085" s="1"/>
    </row>
    <row r="1086" spans="1:10" x14ac:dyDescent="0.2">
      <c r="A1086" s="65">
        <v>124</v>
      </c>
      <c r="B1086" s="66" t="s">
        <v>31</v>
      </c>
      <c r="C1086" s="2" t="s">
        <v>25</v>
      </c>
      <c r="D1086" s="1" t="s">
        <v>48</v>
      </c>
      <c r="E1086" s="2" t="s">
        <v>7</v>
      </c>
      <c r="F1086" s="1" t="s">
        <v>9</v>
      </c>
      <c r="G1086" s="70">
        <v>1</v>
      </c>
      <c r="I1086" s="101">
        <v>1.10102739726027</v>
      </c>
      <c r="J1086" s="1"/>
    </row>
    <row r="1087" spans="1:10" x14ac:dyDescent="0.2">
      <c r="A1087" s="65">
        <v>127</v>
      </c>
      <c r="B1087" s="66" t="s">
        <v>387</v>
      </c>
      <c r="C1087" s="2" t="s">
        <v>7</v>
      </c>
      <c r="D1087" s="1" t="s">
        <v>20</v>
      </c>
      <c r="E1087" s="2" t="s">
        <v>7</v>
      </c>
      <c r="F1087" s="1" t="s">
        <v>35</v>
      </c>
      <c r="G1087" s="70">
        <v>0</v>
      </c>
      <c r="I1087" s="101">
        <v>1</v>
      </c>
      <c r="J1087" s="1"/>
    </row>
    <row r="1088" spans="1:10" x14ac:dyDescent="0.2">
      <c r="A1088" s="65">
        <v>127</v>
      </c>
      <c r="B1088" s="66" t="s">
        <v>387</v>
      </c>
      <c r="C1088" s="2" t="s">
        <v>7</v>
      </c>
      <c r="D1088" s="1" t="s">
        <v>20</v>
      </c>
      <c r="E1088" s="2" t="s">
        <v>7</v>
      </c>
      <c r="F1088" s="1" t="s">
        <v>35</v>
      </c>
      <c r="G1088" s="70">
        <v>1E-3</v>
      </c>
      <c r="I1088" s="101">
        <v>1.16862745098039</v>
      </c>
      <c r="J1088" s="1"/>
    </row>
    <row r="1089" spans="1:12" x14ac:dyDescent="0.2">
      <c r="A1089" s="65">
        <v>127</v>
      </c>
      <c r="B1089" s="66" t="s">
        <v>387</v>
      </c>
      <c r="C1089" s="2" t="s">
        <v>7</v>
      </c>
      <c r="D1089" s="1" t="s">
        <v>20</v>
      </c>
      <c r="E1089" s="2" t="s">
        <v>7</v>
      </c>
      <c r="F1089" s="1" t="s">
        <v>35</v>
      </c>
      <c r="G1089" s="70">
        <v>0.01</v>
      </c>
      <c r="I1089" s="101">
        <v>1.2980392156862699</v>
      </c>
      <c r="J1089" s="1"/>
    </row>
    <row r="1090" spans="1:12" x14ac:dyDescent="0.2">
      <c r="A1090" s="65">
        <v>127</v>
      </c>
      <c r="B1090" s="66" t="s">
        <v>387</v>
      </c>
      <c r="C1090" s="2" t="s">
        <v>7</v>
      </c>
      <c r="D1090" s="1" t="s">
        <v>20</v>
      </c>
      <c r="E1090" s="2" t="s">
        <v>7</v>
      </c>
      <c r="F1090" s="1" t="s">
        <v>35</v>
      </c>
      <c r="G1090" s="70">
        <v>0.1</v>
      </c>
      <c r="I1090" s="101">
        <v>1.85490196078431</v>
      </c>
      <c r="J1090" s="1"/>
    </row>
    <row r="1091" spans="1:12" x14ac:dyDescent="0.2">
      <c r="A1091" s="65">
        <v>127</v>
      </c>
      <c r="B1091" s="66" t="s">
        <v>387</v>
      </c>
      <c r="C1091" s="2" t="s">
        <v>7</v>
      </c>
      <c r="D1091" s="1" t="s">
        <v>20</v>
      </c>
      <c r="E1091" s="2" t="s">
        <v>7</v>
      </c>
      <c r="F1091" s="1" t="s">
        <v>35</v>
      </c>
      <c r="G1091" s="70">
        <v>1</v>
      </c>
      <c r="I1091" s="101">
        <v>1.4980392156862701</v>
      </c>
      <c r="J1091" s="1"/>
    </row>
    <row r="1092" spans="1:12" x14ac:dyDescent="0.2">
      <c r="A1092" s="65">
        <v>127</v>
      </c>
      <c r="B1092" s="66" t="s">
        <v>387</v>
      </c>
      <c r="C1092" s="2" t="s">
        <v>7</v>
      </c>
      <c r="D1092" s="1" t="s">
        <v>20</v>
      </c>
      <c r="E1092" s="2" t="s">
        <v>7</v>
      </c>
      <c r="F1092" s="1" t="s">
        <v>35</v>
      </c>
      <c r="G1092" s="70">
        <v>10</v>
      </c>
      <c r="I1092" s="101">
        <v>1.5215686274509801</v>
      </c>
      <c r="J1092" s="1"/>
    </row>
    <row r="1093" spans="1:12" x14ac:dyDescent="0.2">
      <c r="A1093" s="65">
        <v>127</v>
      </c>
      <c r="B1093" s="66" t="s">
        <v>387</v>
      </c>
      <c r="C1093" s="2" t="s">
        <v>7</v>
      </c>
      <c r="D1093" s="1" t="s">
        <v>20</v>
      </c>
      <c r="E1093" s="2" t="s">
        <v>7</v>
      </c>
      <c r="F1093" s="1" t="s">
        <v>35</v>
      </c>
      <c r="G1093" s="70">
        <v>100</v>
      </c>
      <c r="I1093" s="101">
        <v>0.88235294117647001</v>
      </c>
      <c r="J1093" s="1"/>
    </row>
    <row r="1094" spans="1:12" x14ac:dyDescent="0.2">
      <c r="A1094" s="65">
        <v>127</v>
      </c>
      <c r="B1094" s="66" t="s">
        <v>387</v>
      </c>
      <c r="C1094" s="2" t="s">
        <v>7</v>
      </c>
      <c r="D1094" s="1" t="s">
        <v>20</v>
      </c>
      <c r="E1094" s="2" t="s">
        <v>7</v>
      </c>
      <c r="F1094" s="1" t="s">
        <v>35</v>
      </c>
      <c r="G1094" s="70">
        <v>250</v>
      </c>
      <c r="I1094" s="101">
        <v>0.90588235294117603</v>
      </c>
      <c r="J1094" s="1"/>
    </row>
    <row r="1095" spans="1:12" x14ac:dyDescent="0.2">
      <c r="A1095" s="65">
        <v>127</v>
      </c>
      <c r="B1095" s="66" t="s">
        <v>387</v>
      </c>
      <c r="C1095" s="2" t="s">
        <v>7</v>
      </c>
      <c r="D1095" s="1" t="s">
        <v>20</v>
      </c>
      <c r="E1095" s="2" t="s">
        <v>7</v>
      </c>
      <c r="F1095" s="1" t="s">
        <v>35</v>
      </c>
      <c r="G1095" s="70">
        <v>500</v>
      </c>
      <c r="I1095" s="101">
        <v>1.0274509803921501</v>
      </c>
      <c r="J1095" s="1"/>
    </row>
    <row r="1096" spans="1:12" x14ac:dyDescent="0.2">
      <c r="A1096" s="65">
        <v>130</v>
      </c>
      <c r="B1096" s="66" t="s">
        <v>388</v>
      </c>
      <c r="C1096" s="2" t="s">
        <v>7</v>
      </c>
      <c r="D1096" s="1" t="s">
        <v>46</v>
      </c>
      <c r="E1096" s="2" t="s">
        <v>7</v>
      </c>
      <c r="F1096" s="1" t="s">
        <v>8</v>
      </c>
      <c r="G1096" s="70">
        <v>0</v>
      </c>
      <c r="H1096" s="3">
        <v>3.7868852459016303E-5</v>
      </c>
      <c r="I1096" s="101">
        <f>H1096/$H$1096</f>
        <v>1</v>
      </c>
      <c r="J1096" s="1"/>
    </row>
    <row r="1097" spans="1:12" x14ac:dyDescent="0.2">
      <c r="A1097" s="65">
        <v>130</v>
      </c>
      <c r="B1097" s="66" t="s">
        <v>388</v>
      </c>
      <c r="C1097" s="2" t="s">
        <v>7</v>
      </c>
      <c r="D1097" s="1" t="s">
        <v>46</v>
      </c>
      <c r="E1097" s="2" t="s">
        <v>7</v>
      </c>
      <c r="F1097" s="1" t="s">
        <v>8</v>
      </c>
      <c r="G1097" s="70">
        <v>50</v>
      </c>
      <c r="H1097" s="3">
        <v>4.1967213114754E-5</v>
      </c>
      <c r="I1097" s="101">
        <f t="shared" ref="I1097:I1099" si="24">H1097/$H$1096</f>
        <v>1.1082251082251082</v>
      </c>
    </row>
    <row r="1098" spans="1:12" x14ac:dyDescent="0.2">
      <c r="A1098" s="65">
        <v>130</v>
      </c>
      <c r="B1098" s="66" t="s">
        <v>388</v>
      </c>
      <c r="C1098" s="2" t="s">
        <v>7</v>
      </c>
      <c r="D1098" s="1" t="s">
        <v>46</v>
      </c>
      <c r="E1098" s="2" t="s">
        <v>7</v>
      </c>
      <c r="F1098" s="1" t="s">
        <v>8</v>
      </c>
      <c r="G1098" s="70">
        <v>100</v>
      </c>
      <c r="H1098" s="3">
        <v>4.1967213114754102E-5</v>
      </c>
      <c r="I1098" s="101">
        <f t="shared" si="24"/>
        <v>1.1082251082251109</v>
      </c>
    </row>
    <row r="1099" spans="1:12" x14ac:dyDescent="0.2">
      <c r="A1099" s="65">
        <v>130</v>
      </c>
      <c r="B1099" s="66" t="s">
        <v>388</v>
      </c>
      <c r="C1099" s="2" t="s">
        <v>7</v>
      </c>
      <c r="D1099" s="1" t="s">
        <v>46</v>
      </c>
      <c r="E1099" s="2" t="s">
        <v>7</v>
      </c>
      <c r="F1099" s="1" t="s">
        <v>8</v>
      </c>
      <c r="G1099" s="70">
        <v>200</v>
      </c>
      <c r="H1099" s="3">
        <v>5.22950819672131E-5</v>
      </c>
      <c r="I1099" s="101">
        <f t="shared" si="24"/>
        <v>1.3809523809523838</v>
      </c>
    </row>
    <row r="1100" spans="1:12" x14ac:dyDescent="0.2">
      <c r="A1100" s="65">
        <v>134</v>
      </c>
      <c r="B1100" s="66" t="s">
        <v>487</v>
      </c>
      <c r="C1100" s="2" t="s">
        <v>7</v>
      </c>
      <c r="D1100" s="1" t="s">
        <v>20</v>
      </c>
      <c r="E1100" s="2" t="s">
        <v>7</v>
      </c>
      <c r="F1100" s="1" t="s">
        <v>8</v>
      </c>
      <c r="G1100" s="70">
        <v>0</v>
      </c>
      <c r="I1100" s="101">
        <v>1.0036621382161801</v>
      </c>
    </row>
    <row r="1101" spans="1:12" x14ac:dyDescent="0.2">
      <c r="A1101" s="65">
        <v>134</v>
      </c>
      <c r="B1101" s="66" t="s">
        <v>487</v>
      </c>
      <c r="C1101" s="2" t="s">
        <v>7</v>
      </c>
      <c r="D1101" s="1" t="s">
        <v>20</v>
      </c>
      <c r="E1101" s="2" t="s">
        <v>7</v>
      </c>
      <c r="F1101" s="1" t="s">
        <v>8</v>
      </c>
      <c r="G1101" s="70">
        <v>5.0000000000000001E-4</v>
      </c>
      <c r="I1101" s="101">
        <v>1.1246308328411101</v>
      </c>
    </row>
    <row r="1102" spans="1:12" x14ac:dyDescent="0.2">
      <c r="A1102" s="65">
        <v>134</v>
      </c>
      <c r="B1102" s="66" t="s">
        <v>487</v>
      </c>
      <c r="C1102" s="2" t="s">
        <v>7</v>
      </c>
      <c r="D1102" s="1" t="s">
        <v>20</v>
      </c>
      <c r="E1102" s="2" t="s">
        <v>7</v>
      </c>
      <c r="F1102" s="1" t="s">
        <v>8</v>
      </c>
      <c r="G1102" s="70">
        <v>1E-3</v>
      </c>
      <c r="I1102" s="101">
        <v>2.4949793266391</v>
      </c>
    </row>
    <row r="1103" spans="1:12" s="4" customFormat="1" x14ac:dyDescent="0.2">
      <c r="A1103" s="65">
        <v>134</v>
      </c>
      <c r="B1103" s="66" t="s">
        <v>487</v>
      </c>
      <c r="C1103" s="2" t="s">
        <v>7</v>
      </c>
      <c r="D1103" s="1" t="s">
        <v>20</v>
      </c>
      <c r="E1103" s="2" t="s">
        <v>7</v>
      </c>
      <c r="F1103" s="1" t="s">
        <v>8</v>
      </c>
      <c r="G1103" s="70">
        <v>0.05</v>
      </c>
      <c r="H1103" s="3"/>
      <c r="I1103" s="101">
        <v>2.0054341405788501</v>
      </c>
      <c r="K1103" s="1"/>
      <c r="L1103" s="1"/>
    </row>
    <row r="1104" spans="1:12" s="4" customFormat="1" x14ac:dyDescent="0.2">
      <c r="A1104" s="65">
        <v>134</v>
      </c>
      <c r="B1104" s="66" t="s">
        <v>487</v>
      </c>
      <c r="C1104" s="2" t="s">
        <v>7</v>
      </c>
      <c r="D1104" s="1" t="s">
        <v>20</v>
      </c>
      <c r="E1104" s="2" t="s">
        <v>7</v>
      </c>
      <c r="F1104" s="1" t="s">
        <v>8</v>
      </c>
      <c r="G1104" s="70">
        <v>0.2</v>
      </c>
      <c r="H1104" s="3"/>
      <c r="I1104" s="101">
        <v>0.95451860602480798</v>
      </c>
      <c r="K1104" s="1"/>
      <c r="L1104" s="1"/>
    </row>
    <row r="1105" spans="1:12" s="4" customFormat="1" x14ac:dyDescent="0.2">
      <c r="A1105" s="65">
        <v>134</v>
      </c>
      <c r="B1105" s="66" t="s">
        <v>487</v>
      </c>
      <c r="C1105" s="2" t="s">
        <v>7</v>
      </c>
      <c r="D1105" s="1" t="s">
        <v>20</v>
      </c>
      <c r="E1105" s="2" t="s">
        <v>7</v>
      </c>
      <c r="F1105" s="1" t="s">
        <v>8</v>
      </c>
      <c r="G1105" s="70">
        <v>0.5</v>
      </c>
      <c r="H1105" s="3"/>
      <c r="I1105" s="101">
        <v>0.76739515652687496</v>
      </c>
      <c r="K1105" s="1"/>
      <c r="L1105" s="1"/>
    </row>
    <row r="1106" spans="1:12" s="4" customFormat="1" x14ac:dyDescent="0.2">
      <c r="A1106" s="65">
        <v>134</v>
      </c>
      <c r="B1106" s="66" t="s">
        <v>487</v>
      </c>
      <c r="C1106" s="2" t="s">
        <v>7</v>
      </c>
      <c r="D1106" s="1" t="s">
        <v>20</v>
      </c>
      <c r="E1106" s="2" t="s">
        <v>7</v>
      </c>
      <c r="F1106" s="1" t="s">
        <v>8</v>
      </c>
      <c r="G1106" s="70">
        <v>1</v>
      </c>
      <c r="H1106" s="3"/>
      <c r="I1106" s="101">
        <v>0.38369757826343698</v>
      </c>
      <c r="K1106" s="1"/>
      <c r="L1106" s="1"/>
    </row>
    <row r="1107" spans="1:12" s="4" customFormat="1" x14ac:dyDescent="0.2">
      <c r="A1107" s="65">
        <v>134</v>
      </c>
      <c r="B1107" s="66" t="s">
        <v>487</v>
      </c>
      <c r="C1107" s="2" t="s">
        <v>7</v>
      </c>
      <c r="D1107" s="1" t="s">
        <v>20</v>
      </c>
      <c r="E1107" s="2" t="s">
        <v>7</v>
      </c>
      <c r="F1107" s="1" t="s">
        <v>8</v>
      </c>
      <c r="G1107" s="70">
        <v>2</v>
      </c>
      <c r="H1107" s="3"/>
      <c r="I1107" s="101">
        <v>0.23248670998227899</v>
      </c>
      <c r="K1107" s="1"/>
      <c r="L1107" s="1"/>
    </row>
    <row r="1108" spans="1:12" s="4" customFormat="1" x14ac:dyDescent="0.2">
      <c r="A1108" s="65">
        <v>134</v>
      </c>
      <c r="B1108" s="66" t="s">
        <v>488</v>
      </c>
      <c r="C1108" s="2" t="s">
        <v>7</v>
      </c>
      <c r="D1108" s="1" t="s">
        <v>20</v>
      </c>
      <c r="E1108" s="2" t="s">
        <v>7</v>
      </c>
      <c r="F1108" s="1" t="s">
        <v>8</v>
      </c>
      <c r="G1108" s="70">
        <v>0</v>
      </c>
      <c r="H1108" s="3"/>
      <c r="I1108" s="101">
        <v>1</v>
      </c>
      <c r="K1108" s="1"/>
      <c r="L1108" s="1"/>
    </row>
    <row r="1109" spans="1:12" s="4" customFormat="1" x14ac:dyDescent="0.2">
      <c r="A1109" s="65">
        <v>134</v>
      </c>
      <c r="B1109" s="66" t="s">
        <v>488</v>
      </c>
      <c r="C1109" s="2" t="s">
        <v>7</v>
      </c>
      <c r="D1109" s="1" t="s">
        <v>20</v>
      </c>
      <c r="E1109" s="2" t="s">
        <v>7</v>
      </c>
      <c r="F1109" s="1" t="s">
        <v>8</v>
      </c>
      <c r="G1109" s="70">
        <v>5.0000000000000001E-4</v>
      </c>
      <c r="H1109" s="3"/>
      <c r="I1109" s="101">
        <v>1.02145922746781</v>
      </c>
      <c r="K1109" s="1"/>
      <c r="L1109" s="1"/>
    </row>
    <row r="1110" spans="1:12" s="4" customFormat="1" x14ac:dyDescent="0.2">
      <c r="A1110" s="65">
        <v>134</v>
      </c>
      <c r="B1110" s="66" t="s">
        <v>488</v>
      </c>
      <c r="C1110" s="2" t="s">
        <v>7</v>
      </c>
      <c r="D1110" s="1" t="s">
        <v>20</v>
      </c>
      <c r="E1110" s="2" t="s">
        <v>7</v>
      </c>
      <c r="F1110" s="1" t="s">
        <v>8</v>
      </c>
      <c r="G1110" s="70">
        <v>1E-3</v>
      </c>
      <c r="H1110" s="3"/>
      <c r="I1110" s="101">
        <v>1.21602288984263</v>
      </c>
      <c r="K1110" s="1"/>
      <c r="L1110" s="1"/>
    </row>
    <row r="1111" spans="1:12" s="4" customFormat="1" x14ac:dyDescent="0.2">
      <c r="A1111" s="65">
        <v>134</v>
      </c>
      <c r="B1111" s="66" t="s">
        <v>488</v>
      </c>
      <c r="C1111" s="2" t="s">
        <v>7</v>
      </c>
      <c r="D1111" s="1" t="s">
        <v>20</v>
      </c>
      <c r="E1111" s="2" t="s">
        <v>7</v>
      </c>
      <c r="F1111" s="1" t="s">
        <v>8</v>
      </c>
      <c r="G1111" s="70">
        <v>0.05</v>
      </c>
      <c r="H1111" s="3"/>
      <c r="I1111" s="101">
        <v>1.7482117310443399</v>
      </c>
      <c r="K1111" s="1"/>
      <c r="L1111" s="1"/>
    </row>
    <row r="1112" spans="1:12" s="4" customFormat="1" x14ac:dyDescent="0.2">
      <c r="A1112" s="65">
        <v>134</v>
      </c>
      <c r="B1112" s="66" t="s">
        <v>488</v>
      </c>
      <c r="C1112" s="2" t="s">
        <v>7</v>
      </c>
      <c r="D1112" s="1" t="s">
        <v>20</v>
      </c>
      <c r="E1112" s="2" t="s">
        <v>7</v>
      </c>
      <c r="F1112" s="1" t="s">
        <v>8</v>
      </c>
      <c r="G1112" s="70">
        <v>0.2</v>
      </c>
      <c r="H1112" s="3"/>
      <c r="I1112" s="101">
        <v>1.2074391988555</v>
      </c>
      <c r="K1112" s="1"/>
      <c r="L1112" s="1"/>
    </row>
    <row r="1113" spans="1:12" s="4" customFormat="1" x14ac:dyDescent="0.2">
      <c r="A1113" s="65">
        <v>134</v>
      </c>
      <c r="B1113" s="66" t="s">
        <v>488</v>
      </c>
      <c r="C1113" s="2" t="s">
        <v>7</v>
      </c>
      <c r="D1113" s="1" t="s">
        <v>20</v>
      </c>
      <c r="E1113" s="2" t="s">
        <v>7</v>
      </c>
      <c r="F1113" s="1" t="s">
        <v>8</v>
      </c>
      <c r="G1113" s="70">
        <v>0.5</v>
      </c>
      <c r="H1113" s="3"/>
      <c r="I1113" s="101">
        <v>1.05865522174534</v>
      </c>
      <c r="K1113" s="1"/>
      <c r="L1113" s="1"/>
    </row>
    <row r="1114" spans="1:12" s="4" customFormat="1" x14ac:dyDescent="0.2">
      <c r="A1114" s="65">
        <v>134</v>
      </c>
      <c r="B1114" s="66" t="s">
        <v>488</v>
      </c>
      <c r="C1114" s="2" t="s">
        <v>7</v>
      </c>
      <c r="D1114" s="1" t="s">
        <v>20</v>
      </c>
      <c r="E1114" s="2" t="s">
        <v>7</v>
      </c>
      <c r="F1114" s="1" t="s">
        <v>8</v>
      </c>
      <c r="G1114" s="70">
        <v>1</v>
      </c>
      <c r="H1114" s="3"/>
      <c r="I1114" s="101">
        <v>0.80400572246065705</v>
      </c>
      <c r="K1114" s="1"/>
      <c r="L1114" s="1"/>
    </row>
    <row r="1115" spans="1:12" s="4" customFormat="1" x14ac:dyDescent="0.2">
      <c r="A1115" s="65">
        <v>134</v>
      </c>
      <c r="B1115" s="66" t="s">
        <v>488</v>
      </c>
      <c r="C1115" s="2" t="s">
        <v>7</v>
      </c>
      <c r="D1115" s="1" t="s">
        <v>20</v>
      </c>
      <c r="E1115" s="2" t="s">
        <v>7</v>
      </c>
      <c r="F1115" s="1" t="s">
        <v>8</v>
      </c>
      <c r="G1115" s="70">
        <v>2</v>
      </c>
      <c r="H1115" s="3"/>
      <c r="I1115" s="101">
        <v>0.42489270386265998</v>
      </c>
      <c r="K1115" s="1"/>
      <c r="L1115" s="1"/>
    </row>
    <row r="1116" spans="1:12" s="4" customFormat="1" x14ac:dyDescent="0.2">
      <c r="A1116" s="65">
        <v>134</v>
      </c>
      <c r="B1116" s="66" t="s">
        <v>489</v>
      </c>
      <c r="C1116" s="2" t="s">
        <v>7</v>
      </c>
      <c r="D1116" s="1" t="s">
        <v>20</v>
      </c>
      <c r="E1116" s="2" t="s">
        <v>7</v>
      </c>
      <c r="F1116" s="1" t="s">
        <v>8</v>
      </c>
      <c r="G1116" s="70">
        <v>0</v>
      </c>
      <c r="H1116" s="3"/>
      <c r="I1116" s="101">
        <v>1</v>
      </c>
      <c r="K1116" s="1"/>
      <c r="L1116" s="1"/>
    </row>
    <row r="1117" spans="1:12" s="4" customFormat="1" x14ac:dyDescent="0.2">
      <c r="A1117" s="65">
        <v>134</v>
      </c>
      <c r="B1117" s="66" t="s">
        <v>489</v>
      </c>
      <c r="C1117" s="2" t="s">
        <v>7</v>
      </c>
      <c r="D1117" s="1" t="s">
        <v>20</v>
      </c>
      <c r="E1117" s="2" t="s">
        <v>7</v>
      </c>
      <c r="F1117" s="1" t="s">
        <v>8</v>
      </c>
      <c r="G1117" s="70">
        <v>5.0000000000000001E-4</v>
      </c>
      <c r="H1117" s="3"/>
      <c r="I1117" s="101">
        <v>1.2351598173515901</v>
      </c>
      <c r="K1117" s="1"/>
      <c r="L1117" s="1"/>
    </row>
    <row r="1118" spans="1:12" s="4" customFormat="1" x14ac:dyDescent="0.2">
      <c r="A1118" s="65">
        <v>134</v>
      </c>
      <c r="B1118" s="66" t="s">
        <v>489</v>
      </c>
      <c r="C1118" s="2" t="s">
        <v>7</v>
      </c>
      <c r="D1118" s="1" t="s">
        <v>20</v>
      </c>
      <c r="E1118" s="2" t="s">
        <v>7</v>
      </c>
      <c r="F1118" s="1" t="s">
        <v>8</v>
      </c>
      <c r="G1118" s="70">
        <v>1E-3</v>
      </c>
      <c r="H1118" s="3"/>
      <c r="I1118" s="101">
        <v>1.06963470319634</v>
      </c>
      <c r="K1118" s="1"/>
      <c r="L1118" s="1"/>
    </row>
    <row r="1119" spans="1:12" s="4" customFormat="1" x14ac:dyDescent="0.2">
      <c r="A1119" s="65">
        <v>134</v>
      </c>
      <c r="B1119" s="66" t="s">
        <v>489</v>
      </c>
      <c r="C1119" s="2" t="s">
        <v>7</v>
      </c>
      <c r="D1119" s="1" t="s">
        <v>20</v>
      </c>
      <c r="E1119" s="2" t="s">
        <v>7</v>
      </c>
      <c r="F1119" s="1" t="s">
        <v>8</v>
      </c>
      <c r="G1119" s="70">
        <v>0.05</v>
      </c>
      <c r="H1119" s="3"/>
      <c r="I1119" s="101">
        <v>1.0662100456621</v>
      </c>
      <c r="K1119" s="1"/>
      <c r="L1119" s="1"/>
    </row>
    <row r="1120" spans="1:12" s="4" customFormat="1" x14ac:dyDescent="0.2">
      <c r="A1120" s="65">
        <v>134</v>
      </c>
      <c r="B1120" s="66" t="s">
        <v>489</v>
      </c>
      <c r="C1120" s="2" t="s">
        <v>7</v>
      </c>
      <c r="D1120" s="1" t="s">
        <v>20</v>
      </c>
      <c r="E1120" s="2" t="s">
        <v>7</v>
      </c>
      <c r="F1120" s="1" t="s">
        <v>8</v>
      </c>
      <c r="G1120" s="70">
        <v>0.2</v>
      </c>
      <c r="H1120" s="3"/>
      <c r="I1120" s="101">
        <v>0.69178082191780799</v>
      </c>
      <c r="K1120" s="1"/>
      <c r="L1120" s="1"/>
    </row>
    <row r="1121" spans="1:12" s="4" customFormat="1" x14ac:dyDescent="0.2">
      <c r="A1121" s="65">
        <v>134</v>
      </c>
      <c r="B1121" s="66" t="s">
        <v>489</v>
      </c>
      <c r="C1121" s="2" t="s">
        <v>7</v>
      </c>
      <c r="D1121" s="1" t="s">
        <v>20</v>
      </c>
      <c r="E1121" s="2" t="s">
        <v>7</v>
      </c>
      <c r="F1121" s="1" t="s">
        <v>8</v>
      </c>
      <c r="G1121" s="70">
        <v>0.5</v>
      </c>
      <c r="H1121" s="3"/>
      <c r="I1121" s="101">
        <v>0.44977168949771601</v>
      </c>
      <c r="K1121" s="1"/>
      <c r="L1121" s="1"/>
    </row>
    <row r="1122" spans="1:12" s="4" customFormat="1" x14ac:dyDescent="0.2">
      <c r="A1122" s="65">
        <v>134</v>
      </c>
      <c r="B1122" s="66" t="s">
        <v>489</v>
      </c>
      <c r="C1122" s="2" t="s">
        <v>7</v>
      </c>
      <c r="D1122" s="1" t="s">
        <v>20</v>
      </c>
      <c r="E1122" s="2" t="s">
        <v>7</v>
      </c>
      <c r="F1122" s="1" t="s">
        <v>8</v>
      </c>
      <c r="G1122" s="70">
        <v>1</v>
      </c>
      <c r="H1122" s="3"/>
      <c r="I1122" s="101">
        <v>0.58789954337899497</v>
      </c>
      <c r="K1122" s="1"/>
      <c r="L1122" s="1"/>
    </row>
    <row r="1123" spans="1:12" s="4" customFormat="1" x14ac:dyDescent="0.2">
      <c r="A1123" s="65">
        <v>134</v>
      </c>
      <c r="B1123" s="66" t="s">
        <v>489</v>
      </c>
      <c r="C1123" s="2" t="s">
        <v>7</v>
      </c>
      <c r="D1123" s="1" t="s">
        <v>20</v>
      </c>
      <c r="E1123" s="2" t="s">
        <v>7</v>
      </c>
      <c r="F1123" s="1" t="s">
        <v>8</v>
      </c>
      <c r="G1123" s="70">
        <v>2</v>
      </c>
      <c r="H1123" s="3"/>
      <c r="I1123" s="101">
        <v>0.32534246575342501</v>
      </c>
      <c r="K1123" s="1"/>
      <c r="L1123" s="1"/>
    </row>
    <row r="1124" spans="1:12" s="4" customFormat="1" x14ac:dyDescent="0.2">
      <c r="A1124" s="65">
        <v>135</v>
      </c>
      <c r="B1124" s="66" t="s">
        <v>440</v>
      </c>
      <c r="C1124" s="2" t="s">
        <v>7</v>
      </c>
      <c r="D1124" s="1" t="s">
        <v>9</v>
      </c>
      <c r="E1124" s="2" t="s">
        <v>7</v>
      </c>
      <c r="F1124" s="1" t="s">
        <v>438</v>
      </c>
      <c r="G1124" s="70">
        <v>0</v>
      </c>
      <c r="H1124" s="3">
        <v>8.2258064516129003E-3</v>
      </c>
      <c r="I1124" s="101">
        <f>H1124/$H$1124</f>
        <v>1</v>
      </c>
      <c r="K1124" s="1"/>
      <c r="L1124" s="1"/>
    </row>
    <row r="1125" spans="1:12" s="4" customFormat="1" x14ac:dyDescent="0.2">
      <c r="A1125" s="65">
        <v>135</v>
      </c>
      <c r="B1125" s="66" t="s">
        <v>440</v>
      </c>
      <c r="C1125" s="2" t="s">
        <v>7</v>
      </c>
      <c r="D1125" s="1" t="s">
        <v>226</v>
      </c>
      <c r="E1125" s="2" t="s">
        <v>7</v>
      </c>
      <c r="F1125" s="1" t="s">
        <v>438</v>
      </c>
      <c r="G1125" s="70">
        <v>50</v>
      </c>
      <c r="H1125" s="3">
        <v>2.6548387096774202E-3</v>
      </c>
      <c r="I1125" s="101">
        <f t="shared" ref="I1125:I1127" si="25">H1125/$H$1124</f>
        <v>0.32274509803921592</v>
      </c>
      <c r="K1125" s="1"/>
      <c r="L1125" s="1"/>
    </row>
    <row r="1126" spans="1:12" s="4" customFormat="1" x14ac:dyDescent="0.2">
      <c r="A1126" s="65">
        <v>135</v>
      </c>
      <c r="B1126" s="66" t="s">
        <v>440</v>
      </c>
      <c r="C1126" s="2" t="s">
        <v>7</v>
      </c>
      <c r="D1126" s="1" t="s">
        <v>225</v>
      </c>
      <c r="E1126" s="2" t="s">
        <v>7</v>
      </c>
      <c r="F1126" s="1" t="s">
        <v>438</v>
      </c>
      <c r="G1126" s="70">
        <v>100</v>
      </c>
      <c r="H1126" s="3">
        <v>1.7145161290322501E-3</v>
      </c>
      <c r="I1126" s="101">
        <f t="shared" si="25"/>
        <v>0.20843137254901872</v>
      </c>
      <c r="K1126" s="1"/>
      <c r="L1126" s="1"/>
    </row>
    <row r="1127" spans="1:12" s="4" customFormat="1" x14ac:dyDescent="0.2">
      <c r="A1127" s="65">
        <v>135</v>
      </c>
      <c r="B1127" s="66" t="s">
        <v>440</v>
      </c>
      <c r="C1127" s="2" t="s">
        <v>7</v>
      </c>
      <c r="D1127" s="1" t="s">
        <v>224</v>
      </c>
      <c r="E1127" s="2" t="s">
        <v>7</v>
      </c>
      <c r="F1127" s="1" t="s">
        <v>438</v>
      </c>
      <c r="G1127" s="70">
        <v>200</v>
      </c>
      <c r="H1127" s="3">
        <v>1.35967741935483E-3</v>
      </c>
      <c r="I1127" s="101">
        <f t="shared" si="25"/>
        <v>0.16529411764705784</v>
      </c>
      <c r="K1127" s="1"/>
      <c r="L1127" s="1"/>
    </row>
    <row r="1128" spans="1:12" s="4" customFormat="1" x14ac:dyDescent="0.2">
      <c r="A1128" s="71">
        <v>137</v>
      </c>
      <c r="B1128" s="66" t="s">
        <v>452</v>
      </c>
      <c r="C1128" s="2" t="s">
        <v>7</v>
      </c>
      <c r="D1128" s="1" t="s">
        <v>8</v>
      </c>
      <c r="E1128" s="2" t="s">
        <v>7</v>
      </c>
      <c r="F1128" s="1" t="s">
        <v>18</v>
      </c>
      <c r="G1128" s="70">
        <v>0</v>
      </c>
      <c r="H1128" s="3">
        <v>9.1147204100652302E-4</v>
      </c>
      <c r="I1128" s="101">
        <f>H1128/$H$1128</f>
        <v>1</v>
      </c>
      <c r="K1128" s="1"/>
      <c r="L1128" s="1"/>
    </row>
    <row r="1129" spans="1:12" s="4" customFormat="1" x14ac:dyDescent="0.2">
      <c r="A1129" s="71">
        <v>137</v>
      </c>
      <c r="B1129" s="66" t="s">
        <v>452</v>
      </c>
      <c r="C1129" s="2" t="s">
        <v>7</v>
      </c>
      <c r="D1129" s="1" t="s">
        <v>8</v>
      </c>
      <c r="E1129" s="2" t="s">
        <v>7</v>
      </c>
      <c r="F1129" s="1" t="s">
        <v>18</v>
      </c>
      <c r="G1129" s="70">
        <v>1.2500000000000001E-2</v>
      </c>
      <c r="H1129" s="3">
        <v>8.3971780055917898E-4</v>
      </c>
      <c r="I1129" s="101">
        <f t="shared" ref="I1129:I1132" si="26">H1129/$H$1128</f>
        <v>0.92127653156743339</v>
      </c>
      <c r="K1129" s="1"/>
      <c r="L1129" s="1"/>
    </row>
    <row r="1130" spans="1:12" s="4" customFormat="1" x14ac:dyDescent="0.2">
      <c r="A1130" s="71">
        <v>137</v>
      </c>
      <c r="B1130" s="66" t="s">
        <v>452</v>
      </c>
      <c r="C1130" s="2" t="s">
        <v>7</v>
      </c>
      <c r="D1130" s="1" t="s">
        <v>8</v>
      </c>
      <c r="E1130" s="2" t="s">
        <v>7</v>
      </c>
      <c r="F1130" s="1" t="s">
        <v>18</v>
      </c>
      <c r="G1130" s="70">
        <v>2.5000000000000001E-2</v>
      </c>
      <c r="H1130" s="3">
        <v>7.7914603914258998E-4</v>
      </c>
      <c r="I1130" s="101">
        <f t="shared" si="26"/>
        <v>0.85482165561786438</v>
      </c>
      <c r="K1130" s="1"/>
      <c r="L1130" s="1"/>
    </row>
    <row r="1131" spans="1:12" s="4" customFormat="1" x14ac:dyDescent="0.2">
      <c r="A1131" s="71">
        <v>137</v>
      </c>
      <c r="B1131" s="66" t="s">
        <v>452</v>
      </c>
      <c r="C1131" s="2" t="s">
        <v>7</v>
      </c>
      <c r="D1131" s="1" t="s">
        <v>8</v>
      </c>
      <c r="E1131" s="2" t="s">
        <v>7</v>
      </c>
      <c r="F1131" s="1" t="s">
        <v>18</v>
      </c>
      <c r="G1131" s="70">
        <v>0.05</v>
      </c>
      <c r="H1131" s="3">
        <v>8.0896598322460398E-4</v>
      </c>
      <c r="I1131" s="101">
        <f t="shared" si="26"/>
        <v>0.88753790223919171</v>
      </c>
      <c r="K1131" s="1"/>
      <c r="L1131" s="1"/>
    </row>
    <row r="1132" spans="1:12" s="4" customFormat="1" x14ac:dyDescent="0.2">
      <c r="A1132" s="71">
        <v>137</v>
      </c>
      <c r="B1132" s="66" t="s">
        <v>452</v>
      </c>
      <c r="C1132" s="2" t="s">
        <v>7</v>
      </c>
      <c r="D1132" s="1" t="s">
        <v>8</v>
      </c>
      <c r="E1132" s="2" t="s">
        <v>7</v>
      </c>
      <c r="F1132" s="1" t="s">
        <v>18</v>
      </c>
      <c r="G1132" s="70">
        <v>0.1</v>
      </c>
      <c r="H1132" s="3">
        <v>7.8566915191053105E-4</v>
      </c>
      <c r="I1132" s="101">
        <f t="shared" si="26"/>
        <v>0.86197833456628026</v>
      </c>
      <c r="K1132" s="1"/>
      <c r="L1132" s="1"/>
    </row>
    <row r="1133" spans="1:12" s="4" customFormat="1" x14ac:dyDescent="0.2">
      <c r="A1133" s="65">
        <v>138</v>
      </c>
      <c r="B1133" s="66" t="s">
        <v>450</v>
      </c>
      <c r="C1133" s="2" t="s">
        <v>7</v>
      </c>
      <c r="D1133" s="1" t="s">
        <v>20</v>
      </c>
      <c r="E1133" s="2" t="s">
        <v>55</v>
      </c>
      <c r="F1133" s="1" t="s">
        <v>56</v>
      </c>
      <c r="G1133" s="70">
        <v>0</v>
      </c>
      <c r="H1133" s="3"/>
      <c r="I1133" s="101">
        <v>0.99889380530973404</v>
      </c>
      <c r="K1133" s="1"/>
      <c r="L1133" s="1"/>
    </row>
    <row r="1134" spans="1:12" s="4" customFormat="1" x14ac:dyDescent="0.2">
      <c r="A1134" s="65">
        <v>138</v>
      </c>
      <c r="B1134" s="66" t="s">
        <v>450</v>
      </c>
      <c r="C1134" s="2" t="s">
        <v>7</v>
      </c>
      <c r="D1134" s="1" t="s">
        <v>20</v>
      </c>
      <c r="E1134" s="2" t="s">
        <v>55</v>
      </c>
      <c r="F1134" s="1" t="s">
        <v>56</v>
      </c>
      <c r="G1134" s="70">
        <v>20.100000000000001</v>
      </c>
      <c r="H1134" s="3"/>
      <c r="I1134" s="101">
        <v>0.84292035398230003</v>
      </c>
      <c r="K1134" s="1"/>
      <c r="L1134" s="1"/>
    </row>
    <row r="1135" spans="1:12" s="4" customFormat="1" x14ac:dyDescent="0.2">
      <c r="A1135" s="65">
        <v>138</v>
      </c>
      <c r="B1135" s="66" t="s">
        <v>450</v>
      </c>
      <c r="C1135" s="2" t="s">
        <v>7</v>
      </c>
      <c r="D1135" s="1" t="s">
        <v>20</v>
      </c>
      <c r="E1135" s="2" t="s">
        <v>55</v>
      </c>
      <c r="F1135" s="1" t="s">
        <v>56</v>
      </c>
      <c r="G1135" s="70">
        <v>402</v>
      </c>
      <c r="H1135" s="3"/>
      <c r="I1135" s="101">
        <v>1.1592920353982299</v>
      </c>
      <c r="K1135" s="1"/>
      <c r="L1135" s="1"/>
    </row>
    <row r="1136" spans="1:12" s="4" customFormat="1" x14ac:dyDescent="0.2">
      <c r="A1136" s="65">
        <v>138</v>
      </c>
      <c r="B1136" s="66" t="s">
        <v>450</v>
      </c>
      <c r="C1136" s="2" t="s">
        <v>7</v>
      </c>
      <c r="D1136" s="1" t="s">
        <v>20</v>
      </c>
      <c r="E1136" s="2" t="s">
        <v>55</v>
      </c>
      <c r="F1136" s="1" t="s">
        <v>56</v>
      </c>
      <c r="G1136" s="70">
        <v>8040</v>
      </c>
      <c r="H1136" s="3"/>
      <c r="I1136" s="101">
        <v>1.0962389380530899</v>
      </c>
      <c r="K1136" s="1"/>
      <c r="L1136" s="1"/>
    </row>
    <row r="1137" spans="1:12" s="4" customFormat="1" x14ac:dyDescent="0.2">
      <c r="A1137" s="65">
        <v>138</v>
      </c>
      <c r="B1137" s="66" t="s">
        <v>64</v>
      </c>
      <c r="C1137" s="2" t="s">
        <v>7</v>
      </c>
      <c r="D1137" s="1" t="s">
        <v>20</v>
      </c>
      <c r="E1137" s="2" t="s">
        <v>55</v>
      </c>
      <c r="F1137" s="1" t="s">
        <v>56</v>
      </c>
      <c r="G1137" s="70">
        <v>0</v>
      </c>
      <c r="H1137" s="3"/>
      <c r="I1137" s="101">
        <v>0.98854731766124104</v>
      </c>
      <c r="K1137" s="1"/>
      <c r="L1137" s="1"/>
    </row>
    <row r="1138" spans="1:12" s="4" customFormat="1" x14ac:dyDescent="0.2">
      <c r="A1138" s="65">
        <v>138</v>
      </c>
      <c r="B1138" s="66" t="s">
        <v>64</v>
      </c>
      <c r="C1138" s="2" t="s">
        <v>7</v>
      </c>
      <c r="D1138" s="1" t="s">
        <v>20</v>
      </c>
      <c r="E1138" s="2" t="s">
        <v>55</v>
      </c>
      <c r="F1138" s="1" t="s">
        <v>56</v>
      </c>
      <c r="G1138" s="70">
        <v>0.10050000000000001</v>
      </c>
      <c r="H1138" s="3"/>
      <c r="I1138" s="101">
        <v>3.6528028933092198</v>
      </c>
      <c r="K1138" s="1"/>
      <c r="L1138" s="1"/>
    </row>
    <row r="1139" spans="1:12" s="4" customFormat="1" x14ac:dyDescent="0.2">
      <c r="A1139" s="65">
        <v>138</v>
      </c>
      <c r="B1139" s="66" t="s">
        <v>64</v>
      </c>
      <c r="C1139" s="2" t="s">
        <v>7</v>
      </c>
      <c r="D1139" s="1" t="s">
        <v>20</v>
      </c>
      <c r="E1139" s="2" t="s">
        <v>55</v>
      </c>
      <c r="F1139" s="1" t="s">
        <v>56</v>
      </c>
      <c r="G1139" s="70">
        <v>2.0099999999999998</v>
      </c>
      <c r="H1139" s="3"/>
      <c r="I1139" s="101">
        <v>4.5871006630500304</v>
      </c>
      <c r="K1139" s="1"/>
      <c r="L1139" s="1"/>
    </row>
    <row r="1140" spans="1:12" s="4" customFormat="1" x14ac:dyDescent="0.2">
      <c r="A1140" s="65">
        <v>138</v>
      </c>
      <c r="B1140" s="66" t="s">
        <v>64</v>
      </c>
      <c r="C1140" s="2" t="s">
        <v>7</v>
      </c>
      <c r="D1140" s="1" t="s">
        <v>20</v>
      </c>
      <c r="E1140" s="2" t="s">
        <v>55</v>
      </c>
      <c r="F1140" s="1" t="s">
        <v>56</v>
      </c>
      <c r="G1140" s="70">
        <v>40.200000000000003</v>
      </c>
      <c r="H1140" s="3"/>
      <c r="I1140" s="101">
        <v>3.6256781193490002</v>
      </c>
      <c r="K1140" s="1"/>
      <c r="L1140" s="1"/>
    </row>
    <row r="1141" spans="1:12" s="4" customFormat="1" x14ac:dyDescent="0.2">
      <c r="A1141" s="65">
        <v>138</v>
      </c>
      <c r="B1141" s="66" t="s">
        <v>64</v>
      </c>
      <c r="C1141" s="2" t="s">
        <v>7</v>
      </c>
      <c r="D1141" s="1" t="s">
        <v>20</v>
      </c>
      <c r="E1141" s="2" t="s">
        <v>55</v>
      </c>
      <c r="F1141" s="1" t="s">
        <v>56</v>
      </c>
      <c r="G1141" s="70">
        <v>804</v>
      </c>
      <c r="H1141" s="3"/>
      <c r="I1141" s="101">
        <v>1.1995177817962599</v>
      </c>
      <c r="K1141" s="1"/>
      <c r="L1141" s="1"/>
    </row>
    <row r="1142" spans="1:12" s="4" customFormat="1" x14ac:dyDescent="0.2">
      <c r="A1142" s="65">
        <v>140</v>
      </c>
      <c r="B1142" s="89" t="s">
        <v>520</v>
      </c>
      <c r="C1142" s="2" t="s">
        <v>7</v>
      </c>
      <c r="D1142" s="1" t="s">
        <v>20</v>
      </c>
      <c r="E1142" s="2" t="s">
        <v>7</v>
      </c>
      <c r="F1142" s="1" t="s">
        <v>8</v>
      </c>
      <c r="G1142" s="70">
        <v>0</v>
      </c>
      <c r="H1142" s="3"/>
      <c r="I1142" s="101">
        <v>1</v>
      </c>
      <c r="K1142" s="1"/>
      <c r="L1142" s="1"/>
    </row>
    <row r="1143" spans="1:12" s="4" customFormat="1" x14ac:dyDescent="0.2">
      <c r="A1143" s="65">
        <v>140</v>
      </c>
      <c r="B1143" s="89" t="s">
        <v>520</v>
      </c>
      <c r="C1143" s="2" t="s">
        <v>7</v>
      </c>
      <c r="D1143" s="1" t="s">
        <v>20</v>
      </c>
      <c r="E1143" s="2" t="s">
        <v>7</v>
      </c>
      <c r="F1143" s="1" t="s">
        <v>8</v>
      </c>
      <c r="G1143" s="70">
        <v>1E-3</v>
      </c>
      <c r="H1143" s="3"/>
      <c r="I1143" s="101">
        <v>3.1769230769230701</v>
      </c>
      <c r="K1143" s="1"/>
      <c r="L1143" s="1"/>
    </row>
    <row r="1144" spans="1:12" s="4" customFormat="1" x14ac:dyDescent="0.2">
      <c r="A1144" s="65">
        <v>140</v>
      </c>
      <c r="B1144" s="89" t="s">
        <v>520</v>
      </c>
      <c r="C1144" s="2" t="s">
        <v>7</v>
      </c>
      <c r="D1144" s="1" t="s">
        <v>20</v>
      </c>
      <c r="E1144" s="2" t="s">
        <v>7</v>
      </c>
      <c r="F1144" s="1" t="s">
        <v>8</v>
      </c>
      <c r="G1144" s="70">
        <v>0.01</v>
      </c>
      <c r="H1144" s="3"/>
      <c r="I1144" s="101">
        <v>3.4999999999999898</v>
      </c>
      <c r="K1144" s="1"/>
      <c r="L1144" s="1"/>
    </row>
    <row r="1145" spans="1:12" s="4" customFormat="1" x14ac:dyDescent="0.2">
      <c r="A1145" s="65">
        <v>140</v>
      </c>
      <c r="B1145" s="89" t="s">
        <v>520</v>
      </c>
      <c r="C1145" s="2" t="s">
        <v>7</v>
      </c>
      <c r="D1145" s="1" t="s">
        <v>20</v>
      </c>
      <c r="E1145" s="2" t="s">
        <v>7</v>
      </c>
      <c r="F1145" s="1" t="s">
        <v>8</v>
      </c>
      <c r="G1145" s="70">
        <v>0.1</v>
      </c>
      <c r="H1145" s="3"/>
      <c r="I1145" s="101">
        <v>3.63846153846153</v>
      </c>
      <c r="K1145" s="1"/>
      <c r="L1145" s="1"/>
    </row>
    <row r="1146" spans="1:12" s="4" customFormat="1" x14ac:dyDescent="0.2">
      <c r="A1146" s="65">
        <v>140</v>
      </c>
      <c r="B1146" s="66" t="s">
        <v>522</v>
      </c>
      <c r="C1146" s="2" t="s">
        <v>7</v>
      </c>
      <c r="D1146" s="1" t="s">
        <v>20</v>
      </c>
      <c r="E1146" s="2" t="s">
        <v>7</v>
      </c>
      <c r="F1146" s="1" t="s">
        <v>8</v>
      </c>
      <c r="G1146" s="70">
        <v>0</v>
      </c>
      <c r="H1146" s="3"/>
      <c r="I1146" s="101">
        <v>1</v>
      </c>
      <c r="K1146" s="1"/>
      <c r="L1146" s="1"/>
    </row>
    <row r="1147" spans="1:12" s="4" customFormat="1" x14ac:dyDescent="0.2">
      <c r="A1147" s="65">
        <v>140</v>
      </c>
      <c r="B1147" s="66" t="s">
        <v>522</v>
      </c>
      <c r="C1147" s="2" t="s">
        <v>7</v>
      </c>
      <c r="D1147" s="1" t="s">
        <v>20</v>
      </c>
      <c r="E1147" s="2" t="s">
        <v>7</v>
      </c>
      <c r="F1147" s="1" t="s">
        <v>8</v>
      </c>
      <c r="G1147" s="70">
        <v>1E-3</v>
      </c>
      <c r="H1147" s="3"/>
      <c r="I1147" s="101">
        <v>5.1615384615384601</v>
      </c>
      <c r="K1147" s="1"/>
      <c r="L1147" s="1"/>
    </row>
    <row r="1148" spans="1:12" s="4" customFormat="1" x14ac:dyDescent="0.2">
      <c r="A1148" s="65">
        <v>140</v>
      </c>
      <c r="B1148" s="66" t="s">
        <v>522</v>
      </c>
      <c r="C1148" s="2" t="s">
        <v>7</v>
      </c>
      <c r="D1148" s="1" t="s">
        <v>20</v>
      </c>
      <c r="E1148" s="2" t="s">
        <v>7</v>
      </c>
      <c r="F1148" s="1" t="s">
        <v>8</v>
      </c>
      <c r="G1148" s="70">
        <v>0.01</v>
      </c>
      <c r="H1148" s="3"/>
      <c r="I1148" s="101">
        <v>5.0846153846153799</v>
      </c>
      <c r="K1148" s="1"/>
      <c r="L1148" s="1"/>
    </row>
    <row r="1149" spans="1:12" s="4" customFormat="1" x14ac:dyDescent="0.2">
      <c r="A1149" s="65">
        <v>140</v>
      </c>
      <c r="B1149" s="66" t="s">
        <v>522</v>
      </c>
      <c r="C1149" s="2" t="s">
        <v>7</v>
      </c>
      <c r="D1149" s="1" t="s">
        <v>20</v>
      </c>
      <c r="E1149" s="2" t="s">
        <v>7</v>
      </c>
      <c r="F1149" s="1" t="s">
        <v>8</v>
      </c>
      <c r="G1149" s="70">
        <v>0.1</v>
      </c>
      <c r="H1149" s="3"/>
      <c r="I1149" s="101">
        <v>4.4999999999999902</v>
      </c>
      <c r="K1149" s="1"/>
      <c r="L1149" s="1"/>
    </row>
    <row r="1150" spans="1:12" s="4" customFormat="1" x14ac:dyDescent="0.2">
      <c r="A1150" s="65">
        <v>141</v>
      </c>
      <c r="B1150" s="66" t="s">
        <v>444</v>
      </c>
      <c r="C1150" s="2" t="s">
        <v>7</v>
      </c>
      <c r="D1150" s="1" t="s">
        <v>20</v>
      </c>
      <c r="E1150" s="2" t="s">
        <v>7</v>
      </c>
      <c r="F1150" s="1" t="s">
        <v>35</v>
      </c>
      <c r="G1150" s="70">
        <v>0</v>
      </c>
      <c r="H1150" s="3">
        <v>1.36874999999999E-3</v>
      </c>
      <c r="I1150" s="101" t="s">
        <v>231</v>
      </c>
      <c r="K1150" s="1"/>
      <c r="L1150" s="1"/>
    </row>
    <row r="1151" spans="1:12" s="4" customFormat="1" x14ac:dyDescent="0.2">
      <c r="A1151" s="65">
        <v>141</v>
      </c>
      <c r="B1151" s="66" t="s">
        <v>444</v>
      </c>
      <c r="C1151" s="2" t="s">
        <v>7</v>
      </c>
      <c r="D1151" s="1" t="s">
        <v>20</v>
      </c>
      <c r="E1151" s="2" t="s">
        <v>7</v>
      </c>
      <c r="F1151" s="1" t="s">
        <v>35</v>
      </c>
      <c r="G1151" s="70">
        <v>1</v>
      </c>
      <c r="H1151" s="3">
        <v>1.2767045454545401E-3</v>
      </c>
      <c r="I1151" s="101">
        <f t="shared" ref="I1151:I1154" si="27">H1151/$H$1150</f>
        <v>0.93275217932752474</v>
      </c>
      <c r="K1151" s="1"/>
      <c r="L1151" s="1"/>
    </row>
    <row r="1152" spans="1:12" s="4" customFormat="1" x14ac:dyDescent="0.2">
      <c r="A1152" s="65">
        <v>141</v>
      </c>
      <c r="B1152" s="66" t="s">
        <v>444</v>
      </c>
      <c r="C1152" s="2" t="s">
        <v>7</v>
      </c>
      <c r="D1152" s="1" t="s">
        <v>20</v>
      </c>
      <c r="E1152" s="2" t="s">
        <v>7</v>
      </c>
      <c r="F1152" s="1" t="s">
        <v>35</v>
      </c>
      <c r="G1152" s="70">
        <v>10</v>
      </c>
      <c r="H1152" s="3">
        <v>1.16931818181818E-3</v>
      </c>
      <c r="I1152" s="101">
        <f t="shared" si="27"/>
        <v>0.85429638854296885</v>
      </c>
      <c r="K1152" s="1"/>
      <c r="L1152" s="1"/>
    </row>
    <row r="1153" spans="1:12" s="4" customFormat="1" x14ac:dyDescent="0.2">
      <c r="A1153" s="65">
        <v>141</v>
      </c>
      <c r="B1153" s="66" t="s">
        <v>444</v>
      </c>
      <c r="C1153" s="2" t="s">
        <v>7</v>
      </c>
      <c r="D1153" s="1" t="s">
        <v>20</v>
      </c>
      <c r="E1153" s="2" t="s">
        <v>7</v>
      </c>
      <c r="F1153" s="1" t="s">
        <v>35</v>
      </c>
      <c r="G1153" s="70">
        <v>20</v>
      </c>
      <c r="H1153" s="3">
        <v>5.5487804878048697E-5</v>
      </c>
      <c r="I1153" s="101">
        <f t="shared" si="27"/>
        <v>4.053903552734181E-2</v>
      </c>
      <c r="K1153" s="1"/>
      <c r="L1153" s="1"/>
    </row>
    <row r="1154" spans="1:12" s="4" customFormat="1" x14ac:dyDescent="0.2">
      <c r="A1154" s="65">
        <v>141</v>
      </c>
      <c r="B1154" s="66" t="s">
        <v>444</v>
      </c>
      <c r="C1154" s="2" t="s">
        <v>7</v>
      </c>
      <c r="D1154" s="1" t="s">
        <v>20</v>
      </c>
      <c r="E1154" s="2" t="s">
        <v>7</v>
      </c>
      <c r="F1154" s="1" t="s">
        <v>35</v>
      </c>
      <c r="G1154" s="70">
        <v>50</v>
      </c>
      <c r="H1154" s="3">
        <v>3.2317073170731602E-5</v>
      </c>
      <c r="I1154" s="101">
        <f t="shared" si="27"/>
        <v>2.361064706537486E-2</v>
      </c>
      <c r="K1154" s="1"/>
      <c r="L1154" s="1"/>
    </row>
    <row r="1155" spans="1:12" s="4" customFormat="1" x14ac:dyDescent="0.2">
      <c r="A1155" s="65">
        <v>141</v>
      </c>
      <c r="B1155" s="66" t="s">
        <v>444</v>
      </c>
      <c r="C1155" s="2" t="s">
        <v>7</v>
      </c>
      <c r="D1155" s="1" t="s">
        <v>20</v>
      </c>
      <c r="E1155" s="2" t="s">
        <v>358</v>
      </c>
      <c r="F1155" s="1" t="s">
        <v>359</v>
      </c>
      <c r="G1155" s="70">
        <v>0</v>
      </c>
      <c r="H1155" s="3">
        <v>2.7544107268877901E-4</v>
      </c>
      <c r="I1155" s="101">
        <f>H1155/$H$1155</f>
        <v>1</v>
      </c>
      <c r="K1155" s="1"/>
      <c r="L1155" s="1"/>
    </row>
    <row r="1156" spans="1:12" s="4" customFormat="1" x14ac:dyDescent="0.2">
      <c r="A1156" s="65">
        <v>141</v>
      </c>
      <c r="B1156" s="66" t="s">
        <v>444</v>
      </c>
      <c r="C1156" s="2" t="s">
        <v>7</v>
      </c>
      <c r="D1156" s="1" t="s">
        <v>20</v>
      </c>
      <c r="E1156" s="2" t="s">
        <v>358</v>
      </c>
      <c r="F1156" s="1" t="s">
        <v>359</v>
      </c>
      <c r="G1156" s="70">
        <v>10</v>
      </c>
      <c r="H1156" s="3">
        <v>1.69583627381792E-4</v>
      </c>
      <c r="I1156" s="101">
        <f t="shared" ref="I1156:I1159" si="28">H1156/$H$1155</f>
        <v>0.61568024596464099</v>
      </c>
      <c r="K1156" s="1"/>
      <c r="L1156" s="1"/>
    </row>
    <row r="1157" spans="1:12" s="4" customFormat="1" x14ac:dyDescent="0.2">
      <c r="A1157" s="65">
        <v>141</v>
      </c>
      <c r="B1157" s="66" t="s">
        <v>444</v>
      </c>
      <c r="C1157" s="2" t="s">
        <v>7</v>
      </c>
      <c r="D1157" s="1" t="s">
        <v>20</v>
      </c>
      <c r="E1157" s="2" t="s">
        <v>358</v>
      </c>
      <c r="F1157" s="1" t="s">
        <v>359</v>
      </c>
      <c r="G1157" s="70">
        <v>20</v>
      </c>
      <c r="H1157" s="3">
        <v>7.2194777699364793E-5</v>
      </c>
      <c r="I1157" s="101">
        <f t="shared" si="28"/>
        <v>0.26210607225211363</v>
      </c>
      <c r="K1157" s="1"/>
      <c r="L1157" s="1"/>
    </row>
    <row r="1158" spans="1:12" s="4" customFormat="1" x14ac:dyDescent="0.2">
      <c r="A1158" s="65">
        <v>141</v>
      </c>
      <c r="B1158" s="66" t="s">
        <v>444</v>
      </c>
      <c r="C1158" s="2" t="s">
        <v>7</v>
      </c>
      <c r="D1158" s="1" t="s">
        <v>20</v>
      </c>
      <c r="E1158" s="2" t="s">
        <v>358</v>
      </c>
      <c r="F1158" s="1" t="s">
        <v>359</v>
      </c>
      <c r="G1158" s="70">
        <v>30</v>
      </c>
      <c r="H1158" s="3">
        <v>5.77981651376146E-5</v>
      </c>
      <c r="I1158" s="101">
        <f t="shared" si="28"/>
        <v>0.20983858570330494</v>
      </c>
      <c r="K1158" s="1"/>
      <c r="L1158" s="1"/>
    </row>
    <row r="1159" spans="1:12" s="4" customFormat="1" x14ac:dyDescent="0.2">
      <c r="A1159" s="65">
        <v>141</v>
      </c>
      <c r="B1159" s="66" t="s">
        <v>444</v>
      </c>
      <c r="C1159" s="2" t="s">
        <v>7</v>
      </c>
      <c r="D1159" s="1" t="s">
        <v>20</v>
      </c>
      <c r="E1159" s="2" t="s">
        <v>358</v>
      </c>
      <c r="F1159" s="1" t="s">
        <v>359</v>
      </c>
      <c r="G1159" s="70">
        <v>50</v>
      </c>
      <c r="H1159" s="3">
        <v>5.1870148200423399E-5</v>
      </c>
      <c r="I1159" s="101">
        <f t="shared" si="28"/>
        <v>0.18831667947732508</v>
      </c>
      <c r="K1159" s="1"/>
      <c r="L1159" s="1"/>
    </row>
    <row r="1160" spans="1:12" s="4" customFormat="1" x14ac:dyDescent="0.2">
      <c r="A1160" s="65">
        <v>144</v>
      </c>
      <c r="B1160" s="66" t="s">
        <v>497</v>
      </c>
      <c r="C1160" s="2" t="s">
        <v>7</v>
      </c>
      <c r="D1160" s="1" t="s">
        <v>46</v>
      </c>
      <c r="E1160" s="2" t="s">
        <v>371</v>
      </c>
      <c r="F1160" s="1"/>
      <c r="G1160" s="70">
        <v>0</v>
      </c>
      <c r="H1160" s="3">
        <v>1.92622950819672E-3</v>
      </c>
      <c r="I1160" s="101">
        <f>H1160/$H$1160</f>
        <v>1</v>
      </c>
      <c r="K1160" s="1"/>
      <c r="L1160" s="1"/>
    </row>
    <row r="1161" spans="1:12" s="4" customFormat="1" x14ac:dyDescent="0.2">
      <c r="A1161" s="65">
        <v>144</v>
      </c>
      <c r="B1161" s="66" t="s">
        <v>497</v>
      </c>
      <c r="C1161" s="2" t="s">
        <v>7</v>
      </c>
      <c r="D1161" s="1" t="s">
        <v>46</v>
      </c>
      <c r="E1161" s="2" t="s">
        <v>371</v>
      </c>
      <c r="F1161" s="1"/>
      <c r="G1161" s="70">
        <v>0.5</v>
      </c>
      <c r="H1161" s="3">
        <v>2.39071038251366E-3</v>
      </c>
      <c r="I1161" s="101">
        <f t="shared" ref="I1161:I1163" si="29">H1161/$H$1160</f>
        <v>1.2411347517730498</v>
      </c>
      <c r="K1161" s="1"/>
      <c r="L1161" s="1"/>
    </row>
    <row r="1162" spans="1:12" s="4" customFormat="1" x14ac:dyDescent="0.2">
      <c r="A1162" s="65">
        <v>144</v>
      </c>
      <c r="B1162" s="66" t="s">
        <v>497</v>
      </c>
      <c r="C1162" s="2" t="s">
        <v>7</v>
      </c>
      <c r="D1162" s="1" t="s">
        <v>46</v>
      </c>
      <c r="E1162" s="2" t="s">
        <v>371</v>
      </c>
      <c r="F1162" s="1"/>
      <c r="G1162" s="70">
        <v>1</v>
      </c>
      <c r="H1162" s="3">
        <v>4.7267759562841499E-3</v>
      </c>
      <c r="I1162" s="101">
        <f t="shared" si="29"/>
        <v>2.4539007092198584</v>
      </c>
      <c r="K1162" s="1"/>
      <c r="L1162" s="1"/>
    </row>
    <row r="1163" spans="1:12" s="4" customFormat="1" x14ac:dyDescent="0.2">
      <c r="A1163" s="65">
        <v>144</v>
      </c>
      <c r="B1163" s="66" t="s">
        <v>497</v>
      </c>
      <c r="C1163" s="2" t="s">
        <v>7</v>
      </c>
      <c r="D1163" s="1" t="s">
        <v>46</v>
      </c>
      <c r="E1163" s="2" t="s">
        <v>371</v>
      </c>
      <c r="F1163" s="1"/>
      <c r="G1163" s="70">
        <v>2</v>
      </c>
      <c r="H1163" s="3">
        <v>4.3169398907103801E-3</v>
      </c>
      <c r="I1163" s="101">
        <f t="shared" si="29"/>
        <v>2.2411347517730498</v>
      </c>
      <c r="K1163" s="1"/>
      <c r="L1163" s="1"/>
    </row>
    <row r="1164" spans="1:12" s="4" customFormat="1" x14ac:dyDescent="0.2">
      <c r="A1164" s="65">
        <v>144</v>
      </c>
      <c r="B1164" s="66" t="s">
        <v>498</v>
      </c>
      <c r="C1164" s="2" t="s">
        <v>7</v>
      </c>
      <c r="D1164" s="1" t="s">
        <v>46</v>
      </c>
      <c r="E1164" s="2" t="s">
        <v>371</v>
      </c>
      <c r="F1164" s="1"/>
      <c r="G1164" s="70">
        <v>0</v>
      </c>
      <c r="H1164" s="3">
        <v>1.9398907103825101E-3</v>
      </c>
      <c r="I1164" s="101">
        <f>H1164/$H$1164</f>
        <v>1</v>
      </c>
      <c r="K1164" s="1"/>
      <c r="L1164" s="1"/>
    </row>
    <row r="1165" spans="1:12" s="4" customFormat="1" x14ac:dyDescent="0.2">
      <c r="A1165" s="65">
        <v>144</v>
      </c>
      <c r="B1165" s="66" t="s">
        <v>498</v>
      </c>
      <c r="C1165" s="2" t="s">
        <v>7</v>
      </c>
      <c r="D1165" s="1" t="s">
        <v>46</v>
      </c>
      <c r="E1165" s="2" t="s">
        <v>371</v>
      </c>
      <c r="F1165" s="1"/>
      <c r="G1165" s="70">
        <v>0.5</v>
      </c>
      <c r="H1165" s="3">
        <v>2.2677595628415302E-3</v>
      </c>
      <c r="I1165" s="101">
        <f t="shared" ref="I1165:I1167" si="30">H1165/$H$1164</f>
        <v>1.1690140845070445</v>
      </c>
      <c r="K1165" s="1"/>
      <c r="L1165" s="1"/>
    </row>
    <row r="1166" spans="1:12" s="4" customFormat="1" x14ac:dyDescent="0.2">
      <c r="A1166" s="65">
        <v>144</v>
      </c>
      <c r="B1166" s="66" t="s">
        <v>498</v>
      </c>
      <c r="C1166" s="2" t="s">
        <v>7</v>
      </c>
      <c r="D1166" s="1" t="s">
        <v>46</v>
      </c>
      <c r="E1166" s="2" t="s">
        <v>371</v>
      </c>
      <c r="F1166" s="1"/>
      <c r="G1166" s="70">
        <v>1</v>
      </c>
      <c r="H1166" s="3">
        <v>3.81147540983606E-3</v>
      </c>
      <c r="I1166" s="101">
        <f t="shared" si="30"/>
        <v>1.9647887323943669</v>
      </c>
      <c r="K1166" s="1"/>
      <c r="L1166" s="1"/>
    </row>
    <row r="1167" spans="1:12" x14ac:dyDescent="0.2">
      <c r="A1167" s="65">
        <v>144</v>
      </c>
      <c r="B1167" s="66" t="s">
        <v>498</v>
      </c>
      <c r="C1167" s="2" t="s">
        <v>7</v>
      </c>
      <c r="D1167" s="1" t="s">
        <v>46</v>
      </c>
      <c r="E1167" s="2" t="s">
        <v>371</v>
      </c>
      <c r="G1167" s="70">
        <v>2</v>
      </c>
      <c r="H1167" s="3">
        <v>1.58469945355191E-3</v>
      </c>
      <c r="I1167" s="101">
        <f t="shared" si="30"/>
        <v>0.81690140845070436</v>
      </c>
    </row>
    <row r="1168" spans="1:12" x14ac:dyDescent="0.2">
      <c r="A1168" s="65">
        <v>149</v>
      </c>
      <c r="B1168" s="66" t="s">
        <v>507</v>
      </c>
      <c r="C1168" s="2" t="s">
        <v>7</v>
      </c>
      <c r="D1168" s="1" t="s">
        <v>20</v>
      </c>
      <c r="E1168" s="2" t="s">
        <v>7</v>
      </c>
      <c r="F1168" s="1" t="s">
        <v>8</v>
      </c>
      <c r="G1168" s="70">
        <v>0</v>
      </c>
      <c r="H1168" s="3">
        <v>1.6630036630036599E-3</v>
      </c>
      <c r="I1168" s="101">
        <f>H1168/$H$1168</f>
        <v>1</v>
      </c>
    </row>
    <row r="1169" spans="1:9" x14ac:dyDescent="0.2">
      <c r="A1169" s="65">
        <v>149</v>
      </c>
      <c r="B1169" s="66" t="s">
        <v>507</v>
      </c>
      <c r="C1169" s="2" t="s">
        <v>7</v>
      </c>
      <c r="D1169" s="1" t="s">
        <v>20</v>
      </c>
      <c r="E1169" s="2" t="s">
        <v>7</v>
      </c>
      <c r="F1169" s="1" t="s">
        <v>8</v>
      </c>
      <c r="G1169" s="70">
        <v>1</v>
      </c>
      <c r="H1169" s="3">
        <v>3.8974358974358898E-3</v>
      </c>
      <c r="I1169" s="101">
        <f t="shared" ref="I1169:I1173" si="31">H1169/$H$1168</f>
        <v>2.3436123348017617</v>
      </c>
    </row>
    <row r="1170" spans="1:9" x14ac:dyDescent="0.2">
      <c r="A1170" s="65">
        <v>149</v>
      </c>
      <c r="B1170" s="66" t="s">
        <v>507</v>
      </c>
      <c r="C1170" s="2" t="s">
        <v>7</v>
      </c>
      <c r="D1170" s="1" t="s">
        <v>20</v>
      </c>
      <c r="E1170" s="2" t="s">
        <v>7</v>
      </c>
      <c r="F1170" s="1" t="s">
        <v>8</v>
      </c>
      <c r="G1170" s="70">
        <v>5</v>
      </c>
      <c r="H1170" s="3">
        <v>3.1941391941391899E-3</v>
      </c>
      <c r="I1170" s="101">
        <f t="shared" si="31"/>
        <v>1.9207048458149789</v>
      </c>
    </row>
    <row r="1171" spans="1:9" x14ac:dyDescent="0.2">
      <c r="A1171" s="65">
        <v>149</v>
      </c>
      <c r="B1171" s="66" t="s">
        <v>507</v>
      </c>
      <c r="C1171" s="2" t="s">
        <v>7</v>
      </c>
      <c r="D1171" s="1" t="s">
        <v>20</v>
      </c>
      <c r="E1171" s="2" t="s">
        <v>7</v>
      </c>
      <c r="F1171" s="1" t="s">
        <v>8</v>
      </c>
      <c r="G1171" s="70">
        <v>10</v>
      </c>
      <c r="H1171" s="3">
        <v>2.2197802197802098E-3</v>
      </c>
      <c r="I1171" s="101">
        <f t="shared" si="31"/>
        <v>1.3348017621145341</v>
      </c>
    </row>
    <row r="1172" spans="1:9" x14ac:dyDescent="0.2">
      <c r="A1172" s="65">
        <v>149</v>
      </c>
      <c r="B1172" s="66" t="s">
        <v>507</v>
      </c>
      <c r="C1172" s="2" t="s">
        <v>7</v>
      </c>
      <c r="D1172" s="1" t="s">
        <v>20</v>
      </c>
      <c r="E1172" s="2" t="s">
        <v>7</v>
      </c>
      <c r="F1172" s="1" t="s">
        <v>8</v>
      </c>
      <c r="G1172" s="70">
        <v>50</v>
      </c>
      <c r="H1172" s="3">
        <v>1.7435897435897399E-3</v>
      </c>
      <c r="I1172" s="101">
        <f t="shared" si="31"/>
        <v>1.0484581497797354</v>
      </c>
    </row>
    <row r="1173" spans="1:9" x14ac:dyDescent="0.2">
      <c r="A1173" s="65">
        <v>149</v>
      </c>
      <c r="B1173" s="66" t="s">
        <v>507</v>
      </c>
      <c r="C1173" s="2" t="s">
        <v>7</v>
      </c>
      <c r="D1173" s="1" t="s">
        <v>20</v>
      </c>
      <c r="E1173" s="2" t="s">
        <v>7</v>
      </c>
      <c r="F1173" s="1" t="s">
        <v>8</v>
      </c>
      <c r="G1173" s="70">
        <v>100</v>
      </c>
      <c r="H1173" s="3">
        <v>8.2051282051281798E-4</v>
      </c>
      <c r="I1173" s="101">
        <f t="shared" si="31"/>
        <v>0.49339207048458089</v>
      </c>
    </row>
    <row r="1174" spans="1:9" x14ac:dyDescent="0.2">
      <c r="A1174" s="65">
        <v>151</v>
      </c>
      <c r="B1174" s="66" t="s">
        <v>491</v>
      </c>
      <c r="C1174" s="2" t="s">
        <v>7</v>
      </c>
      <c r="D1174" s="1" t="s">
        <v>46</v>
      </c>
      <c r="E1174" s="2" t="s">
        <v>7</v>
      </c>
      <c r="F1174" s="1" t="s">
        <v>8</v>
      </c>
      <c r="G1174" s="70">
        <v>0</v>
      </c>
      <c r="H1174" s="3">
        <v>9.1281020408163294E-6</v>
      </c>
      <c r="I1174" s="101">
        <f>H1174/$H$1174</f>
        <v>1</v>
      </c>
    </row>
    <row r="1175" spans="1:9" x14ac:dyDescent="0.2">
      <c r="A1175" s="65">
        <v>151</v>
      </c>
      <c r="B1175" s="66" t="s">
        <v>491</v>
      </c>
      <c r="C1175" s="2" t="s">
        <v>7</v>
      </c>
      <c r="D1175" s="1" t="s">
        <v>46</v>
      </c>
      <c r="E1175" s="2" t="s">
        <v>7</v>
      </c>
      <c r="F1175" s="1" t="s">
        <v>8</v>
      </c>
      <c r="G1175" s="70">
        <v>0.02</v>
      </c>
      <c r="H1175" s="3">
        <v>8.3767857142857098E-6</v>
      </c>
      <c r="I1175" s="101">
        <f t="shared" ref="I1175:I1179" si="32">H1175/$H$1174</f>
        <v>0.91769194481272154</v>
      </c>
    </row>
    <row r="1176" spans="1:9" x14ac:dyDescent="0.2">
      <c r="A1176" s="65">
        <v>151</v>
      </c>
      <c r="B1176" s="66" t="s">
        <v>491</v>
      </c>
      <c r="C1176" s="2" t="s">
        <v>7</v>
      </c>
      <c r="D1176" s="1" t="s">
        <v>46</v>
      </c>
      <c r="E1176" s="2" t="s">
        <v>7</v>
      </c>
      <c r="F1176" s="1" t="s">
        <v>8</v>
      </c>
      <c r="G1176" s="70">
        <v>0.04</v>
      </c>
      <c r="H1176" s="3">
        <v>1.0000000000000001E-5</v>
      </c>
      <c r="I1176" s="101">
        <f t="shared" si="32"/>
        <v>1.0955179899704208</v>
      </c>
    </row>
    <row r="1177" spans="1:9" x14ac:dyDescent="0.2">
      <c r="A1177" s="65">
        <v>151</v>
      </c>
      <c r="B1177" s="66" t="s">
        <v>491</v>
      </c>
      <c r="C1177" s="2" t="s">
        <v>7</v>
      </c>
      <c r="D1177" s="1" t="s">
        <v>46</v>
      </c>
      <c r="E1177" s="2" t="s">
        <v>7</v>
      </c>
      <c r="F1177" s="1" t="s">
        <v>8</v>
      </c>
      <c r="G1177" s="70">
        <v>0.2</v>
      </c>
      <c r="H1177" s="3">
        <v>8.3582346938775493E-6</v>
      </c>
      <c r="I1177" s="101">
        <f t="shared" si="32"/>
        <v>0.91565964715377668</v>
      </c>
    </row>
    <row r="1178" spans="1:9" x14ac:dyDescent="0.2">
      <c r="A1178" s="65">
        <v>151</v>
      </c>
      <c r="B1178" s="66" t="s">
        <v>491</v>
      </c>
      <c r="C1178" s="2" t="s">
        <v>7</v>
      </c>
      <c r="D1178" s="1" t="s">
        <v>46</v>
      </c>
      <c r="E1178" s="2" t="s">
        <v>7</v>
      </c>
      <c r="F1178" s="1" t="s">
        <v>8</v>
      </c>
      <c r="G1178" s="70">
        <v>0.4</v>
      </c>
      <c r="H1178" s="3">
        <v>7.3564795918367296E-6</v>
      </c>
      <c r="I1178" s="101">
        <f t="shared" si="32"/>
        <v>0.80591557357073951</v>
      </c>
    </row>
    <row r="1179" spans="1:9" x14ac:dyDescent="0.2">
      <c r="A1179" s="65">
        <v>151</v>
      </c>
      <c r="B1179" s="66" t="s">
        <v>491</v>
      </c>
      <c r="C1179" s="2" t="s">
        <v>7</v>
      </c>
      <c r="D1179" s="1" t="s">
        <v>46</v>
      </c>
      <c r="E1179" s="2" t="s">
        <v>7</v>
      </c>
      <c r="F1179" s="1" t="s">
        <v>8</v>
      </c>
      <c r="G1179" s="70">
        <v>0.8</v>
      </c>
      <c r="H1179" s="3">
        <v>2.5424897959183601E-6</v>
      </c>
      <c r="I1179" s="101">
        <f t="shared" si="32"/>
        <v>0.27853433107447867</v>
      </c>
    </row>
    <row r="1180" spans="1:9" x14ac:dyDescent="0.2">
      <c r="A1180" s="65">
        <v>151</v>
      </c>
      <c r="B1180" s="66" t="s">
        <v>492</v>
      </c>
      <c r="C1180" s="2" t="s">
        <v>7</v>
      </c>
      <c r="D1180" s="1" t="s">
        <v>46</v>
      </c>
      <c r="E1180" s="2" t="s">
        <v>7</v>
      </c>
      <c r="F1180" s="1" t="s">
        <v>8</v>
      </c>
      <c r="G1180" s="70">
        <v>0</v>
      </c>
      <c r="H1180" s="3">
        <v>5.5307894736842102E-6</v>
      </c>
      <c r="I1180" s="101">
        <f>H1180/$H$1180</f>
        <v>1</v>
      </c>
    </row>
    <row r="1181" spans="1:9" x14ac:dyDescent="0.2">
      <c r="A1181" s="65">
        <v>151</v>
      </c>
      <c r="B1181" s="66" t="s">
        <v>492</v>
      </c>
      <c r="C1181" s="2" t="s">
        <v>7</v>
      </c>
      <c r="D1181" s="1" t="s">
        <v>46</v>
      </c>
      <c r="E1181" s="2" t="s">
        <v>7</v>
      </c>
      <c r="F1181" s="1" t="s">
        <v>8</v>
      </c>
      <c r="G1181" s="70">
        <v>0.1</v>
      </c>
      <c r="H1181" s="3">
        <v>6.19575851393188E-6</v>
      </c>
      <c r="I1181" s="101">
        <f t="shared" ref="I1181:I1185" si="33">H1181/$H$1180</f>
        <v>1.1202304017196147</v>
      </c>
    </row>
    <row r="1182" spans="1:9" x14ac:dyDescent="0.2">
      <c r="A1182" s="65">
        <v>151</v>
      </c>
      <c r="B1182" s="66" t="s">
        <v>492</v>
      </c>
      <c r="C1182" s="2" t="s">
        <v>7</v>
      </c>
      <c r="D1182" s="1" t="s">
        <v>46</v>
      </c>
      <c r="E1182" s="2" t="s">
        <v>7</v>
      </c>
      <c r="F1182" s="1" t="s">
        <v>8</v>
      </c>
      <c r="G1182" s="70">
        <v>0.5</v>
      </c>
      <c r="H1182" s="3">
        <v>7.2937306501547997E-6</v>
      </c>
      <c r="I1182" s="101">
        <f t="shared" si="33"/>
        <v>1.3187503673496808</v>
      </c>
    </row>
    <row r="1183" spans="1:9" x14ac:dyDescent="0.2">
      <c r="A1183" s="65">
        <v>151</v>
      </c>
      <c r="B1183" s="66" t="s">
        <v>492</v>
      </c>
      <c r="C1183" s="2" t="s">
        <v>7</v>
      </c>
      <c r="D1183" s="1" t="s">
        <v>46</v>
      </c>
      <c r="E1183" s="2" t="s">
        <v>7</v>
      </c>
      <c r="F1183" s="1" t="s">
        <v>8</v>
      </c>
      <c r="G1183" s="70">
        <v>1</v>
      </c>
      <c r="H1183" s="3">
        <v>7.18547987616099E-6</v>
      </c>
      <c r="I1183" s="101">
        <f t="shared" si="33"/>
        <v>1.2991779763720686</v>
      </c>
    </row>
    <row r="1184" spans="1:9" x14ac:dyDescent="0.2">
      <c r="A1184" s="65">
        <v>151</v>
      </c>
      <c r="B1184" s="66" t="s">
        <v>492</v>
      </c>
      <c r="C1184" s="2" t="s">
        <v>7</v>
      </c>
      <c r="D1184" s="1" t="s">
        <v>46</v>
      </c>
      <c r="E1184" s="2" t="s">
        <v>7</v>
      </c>
      <c r="F1184" s="1" t="s">
        <v>8</v>
      </c>
      <c r="G1184" s="70">
        <v>5</v>
      </c>
      <c r="H1184" s="3">
        <v>6.2112229102167102E-6</v>
      </c>
      <c r="I1184" s="101">
        <f t="shared" si="33"/>
        <v>1.1230264575735596</v>
      </c>
    </row>
    <row r="1185" spans="1:12" x14ac:dyDescent="0.2">
      <c r="A1185" s="65">
        <v>151</v>
      </c>
      <c r="B1185" s="66" t="s">
        <v>492</v>
      </c>
      <c r="C1185" s="2" t="s">
        <v>7</v>
      </c>
      <c r="D1185" s="1" t="s">
        <v>46</v>
      </c>
      <c r="E1185" s="2" t="s">
        <v>7</v>
      </c>
      <c r="F1185" s="1" t="s">
        <v>8</v>
      </c>
      <c r="G1185" s="70">
        <v>10</v>
      </c>
      <c r="H1185" s="3">
        <v>6.8297987616098996E-6</v>
      </c>
      <c r="I1185" s="101">
        <f t="shared" si="33"/>
        <v>1.2348686917313423</v>
      </c>
    </row>
    <row r="1186" spans="1:12" x14ac:dyDescent="0.2">
      <c r="A1186" s="65">
        <v>151</v>
      </c>
      <c r="B1186" s="66" t="s">
        <v>493</v>
      </c>
      <c r="C1186" s="2" t="s">
        <v>7</v>
      </c>
      <c r="D1186" s="1" t="s">
        <v>46</v>
      </c>
      <c r="E1186" s="2" t="s">
        <v>7</v>
      </c>
      <c r="F1186" s="1" t="s">
        <v>8</v>
      </c>
      <c r="G1186" s="70">
        <v>0</v>
      </c>
      <c r="H1186" s="3">
        <v>5.1132507739938101E-6</v>
      </c>
      <c r="I1186" s="101">
        <f>H1186/$H$1186</f>
        <v>1</v>
      </c>
    </row>
    <row r="1187" spans="1:12" s="4" customFormat="1" x14ac:dyDescent="0.2">
      <c r="A1187" s="65">
        <v>151</v>
      </c>
      <c r="B1187" s="66" t="s">
        <v>493</v>
      </c>
      <c r="C1187" s="2" t="s">
        <v>7</v>
      </c>
      <c r="D1187" s="1" t="s">
        <v>46</v>
      </c>
      <c r="E1187" s="2" t="s">
        <v>7</v>
      </c>
      <c r="F1187" s="1" t="s">
        <v>8</v>
      </c>
      <c r="G1187" s="70">
        <v>0.05</v>
      </c>
      <c r="H1187" s="3">
        <v>4.8812848297213596E-6</v>
      </c>
      <c r="I1187" s="101">
        <f t="shared" ref="I1187:I1191" si="34">H1187/$H$1186</f>
        <v>0.95463435013744324</v>
      </c>
      <c r="K1187" s="1"/>
      <c r="L1187" s="1"/>
    </row>
    <row r="1188" spans="1:12" s="4" customFormat="1" x14ac:dyDescent="0.2">
      <c r="A1188" s="65">
        <v>151</v>
      </c>
      <c r="B1188" s="66" t="s">
        <v>493</v>
      </c>
      <c r="C1188" s="2" t="s">
        <v>7</v>
      </c>
      <c r="D1188" s="1" t="s">
        <v>46</v>
      </c>
      <c r="E1188" s="2" t="s">
        <v>7</v>
      </c>
      <c r="F1188" s="1" t="s">
        <v>8</v>
      </c>
      <c r="G1188" s="70">
        <v>0.1</v>
      </c>
      <c r="H1188" s="3">
        <v>5.9328637770897802E-6</v>
      </c>
      <c r="I1188" s="101">
        <f t="shared" si="34"/>
        <v>1.1602919628476962</v>
      </c>
      <c r="K1188" s="1"/>
      <c r="L1188" s="1"/>
    </row>
    <row r="1189" spans="1:12" s="4" customFormat="1" x14ac:dyDescent="0.2">
      <c r="A1189" s="65">
        <v>151</v>
      </c>
      <c r="B1189" s="66" t="s">
        <v>493</v>
      </c>
      <c r="C1189" s="2" t="s">
        <v>7</v>
      </c>
      <c r="D1189" s="1" t="s">
        <v>46</v>
      </c>
      <c r="E1189" s="2" t="s">
        <v>7</v>
      </c>
      <c r="F1189" s="1" t="s">
        <v>8</v>
      </c>
      <c r="G1189" s="70">
        <v>0.2</v>
      </c>
      <c r="H1189" s="3">
        <v>7.3865170278637699E-6</v>
      </c>
      <c r="I1189" s="101">
        <f t="shared" si="34"/>
        <v>1.4445833686530454</v>
      </c>
      <c r="K1189" s="1"/>
      <c r="L1189" s="1"/>
    </row>
    <row r="1190" spans="1:12" s="4" customFormat="1" x14ac:dyDescent="0.2">
      <c r="A1190" s="65">
        <v>151</v>
      </c>
      <c r="B1190" s="66" t="s">
        <v>493</v>
      </c>
      <c r="C1190" s="2" t="s">
        <v>7</v>
      </c>
      <c r="D1190" s="1" t="s">
        <v>46</v>
      </c>
      <c r="E1190" s="2" t="s">
        <v>7</v>
      </c>
      <c r="F1190" s="1" t="s">
        <v>8</v>
      </c>
      <c r="G1190" s="70">
        <v>0.5</v>
      </c>
      <c r="H1190" s="3">
        <v>6.4277244582043296E-6</v>
      </c>
      <c r="I1190" s="101">
        <f t="shared" si="34"/>
        <v>1.257072015887815</v>
      </c>
      <c r="K1190" s="1"/>
      <c r="L1190" s="1"/>
    </row>
    <row r="1191" spans="1:12" s="4" customFormat="1" x14ac:dyDescent="0.2">
      <c r="A1191" s="65">
        <v>151</v>
      </c>
      <c r="B1191" s="66" t="s">
        <v>493</v>
      </c>
      <c r="C1191" s="2" t="s">
        <v>7</v>
      </c>
      <c r="D1191" s="1" t="s">
        <v>46</v>
      </c>
      <c r="E1191" s="2" t="s">
        <v>7</v>
      </c>
      <c r="F1191" s="1" t="s">
        <v>8</v>
      </c>
      <c r="G1191" s="70">
        <v>1</v>
      </c>
      <c r="H1191" s="3">
        <v>4.2781733746129996E-6</v>
      </c>
      <c r="I1191" s="101">
        <f t="shared" si="34"/>
        <v>0.83668366049479792</v>
      </c>
      <c r="K1191" s="1"/>
      <c r="L1191" s="1"/>
    </row>
    <row r="1192" spans="1:12" s="4" customFormat="1" x14ac:dyDescent="0.2">
      <c r="A1192" s="65" t="s">
        <v>469</v>
      </c>
      <c r="B1192" s="66" t="s">
        <v>465</v>
      </c>
      <c r="C1192" s="2" t="s">
        <v>7</v>
      </c>
      <c r="D1192" s="1" t="s">
        <v>20</v>
      </c>
      <c r="E1192" s="2" t="s">
        <v>7</v>
      </c>
      <c r="F1192" s="1" t="s">
        <v>8</v>
      </c>
      <c r="G1192" s="70">
        <v>0</v>
      </c>
      <c r="H1192" s="3">
        <v>3.1291390728476701E-3</v>
      </c>
      <c r="I1192" s="101">
        <f>H1192/$H$1192</f>
        <v>1</v>
      </c>
      <c r="K1192" s="1"/>
      <c r="L1192" s="1"/>
    </row>
    <row r="1193" spans="1:12" s="4" customFormat="1" x14ac:dyDescent="0.2">
      <c r="A1193" s="65" t="s">
        <v>469</v>
      </c>
      <c r="B1193" s="66" t="s">
        <v>465</v>
      </c>
      <c r="C1193" s="2" t="s">
        <v>7</v>
      </c>
      <c r="D1193" s="1" t="s">
        <v>20</v>
      </c>
      <c r="E1193" s="2" t="s">
        <v>7</v>
      </c>
      <c r="F1193" s="1" t="s">
        <v>8</v>
      </c>
      <c r="G1193" s="70">
        <v>0.5</v>
      </c>
      <c r="H1193" s="3">
        <v>4.8178807947019796E-3</v>
      </c>
      <c r="I1193" s="101">
        <f t="shared" ref="I1193:I1196" si="35">H1193/$H$1192</f>
        <v>1.5396825396825433</v>
      </c>
      <c r="K1193" s="1"/>
      <c r="L1193" s="1"/>
    </row>
    <row r="1194" spans="1:12" s="4" customFormat="1" x14ac:dyDescent="0.2">
      <c r="A1194" s="65" t="s">
        <v>469</v>
      </c>
      <c r="B1194" s="66" t="s">
        <v>465</v>
      </c>
      <c r="C1194" s="2" t="s">
        <v>7</v>
      </c>
      <c r="D1194" s="1" t="s">
        <v>20</v>
      </c>
      <c r="E1194" s="2" t="s">
        <v>7</v>
      </c>
      <c r="F1194" s="1" t="s">
        <v>8</v>
      </c>
      <c r="G1194" s="70">
        <v>1</v>
      </c>
      <c r="H1194" s="3">
        <v>9.0397350993377396E-3</v>
      </c>
      <c r="I1194" s="101">
        <f t="shared" si="35"/>
        <v>2.8888888888888973</v>
      </c>
      <c r="K1194" s="1"/>
      <c r="L1194" s="1"/>
    </row>
    <row r="1195" spans="1:12" s="4" customFormat="1" x14ac:dyDescent="0.2">
      <c r="A1195" s="65" t="s">
        <v>469</v>
      </c>
      <c r="B1195" s="66" t="s">
        <v>465</v>
      </c>
      <c r="C1195" s="2" t="s">
        <v>7</v>
      </c>
      <c r="D1195" s="1" t="s">
        <v>20</v>
      </c>
      <c r="E1195" s="2" t="s">
        <v>7</v>
      </c>
      <c r="F1195" s="1" t="s">
        <v>8</v>
      </c>
      <c r="G1195" s="70">
        <v>2.5</v>
      </c>
      <c r="H1195" s="3">
        <v>4.9172185430463502E-3</v>
      </c>
      <c r="I1195" s="101">
        <f t="shared" si="35"/>
        <v>1.5714285714285752</v>
      </c>
      <c r="K1195" s="1"/>
      <c r="L1195" s="1"/>
    </row>
    <row r="1196" spans="1:12" s="4" customFormat="1" x14ac:dyDescent="0.2">
      <c r="A1196" s="65" t="s">
        <v>469</v>
      </c>
      <c r="B1196" s="66" t="s">
        <v>465</v>
      </c>
      <c r="C1196" s="2" t="s">
        <v>7</v>
      </c>
      <c r="D1196" s="1" t="s">
        <v>20</v>
      </c>
      <c r="E1196" s="2" t="s">
        <v>7</v>
      </c>
      <c r="F1196" s="1" t="s">
        <v>8</v>
      </c>
      <c r="G1196" s="70">
        <v>5</v>
      </c>
      <c r="H1196" s="3">
        <v>1.49006622516556E-3</v>
      </c>
      <c r="I1196" s="101">
        <f t="shared" si="35"/>
        <v>0.47619047619047705</v>
      </c>
      <c r="K1196" s="1"/>
      <c r="L1196" s="1"/>
    </row>
    <row r="1197" spans="1:12" s="4" customFormat="1" x14ac:dyDescent="0.2">
      <c r="A1197" s="65" t="s">
        <v>469</v>
      </c>
      <c r="B1197" s="66" t="s">
        <v>465</v>
      </c>
      <c r="C1197" s="2" t="s">
        <v>7</v>
      </c>
      <c r="D1197" s="1" t="s">
        <v>20</v>
      </c>
      <c r="E1197" s="2" t="s">
        <v>7</v>
      </c>
      <c r="F1197" s="1" t="s">
        <v>8</v>
      </c>
      <c r="G1197" s="70">
        <v>10</v>
      </c>
      <c r="H1197" s="3">
        <v>4.9668874172182903E-5</v>
      </c>
      <c r="I1197" s="101">
        <f>H1197/$H$1192</f>
        <v>1.5873015873015126E-2</v>
      </c>
      <c r="K1197" s="1"/>
      <c r="L1197" s="1"/>
    </row>
    <row r="1198" spans="1:12" s="4" customFormat="1" x14ac:dyDescent="0.2">
      <c r="A1198" s="65" t="s">
        <v>469</v>
      </c>
      <c r="B1198" s="66" t="s">
        <v>459</v>
      </c>
      <c r="C1198" s="2" t="s">
        <v>7</v>
      </c>
      <c r="D1198" s="1" t="s">
        <v>20</v>
      </c>
      <c r="E1198" s="2" t="s">
        <v>7</v>
      </c>
      <c r="F1198" s="1" t="s">
        <v>8</v>
      </c>
      <c r="G1198" s="70">
        <v>0</v>
      </c>
      <c r="H1198" s="3">
        <v>2.0408163265306001E-4</v>
      </c>
      <c r="I1198" s="101">
        <f>H1198/$H$1198</f>
        <v>1</v>
      </c>
      <c r="K1198" s="1"/>
      <c r="L1198" s="1"/>
    </row>
    <row r="1199" spans="1:12" s="4" customFormat="1" x14ac:dyDescent="0.2">
      <c r="A1199" s="65" t="s">
        <v>469</v>
      </c>
      <c r="B1199" s="66" t="s">
        <v>459</v>
      </c>
      <c r="C1199" s="2" t="s">
        <v>7</v>
      </c>
      <c r="D1199" s="1" t="s">
        <v>20</v>
      </c>
      <c r="E1199" s="2" t="s">
        <v>7</v>
      </c>
      <c r="F1199" s="1" t="s">
        <v>8</v>
      </c>
      <c r="G1199" s="70">
        <v>2</v>
      </c>
      <c r="H1199" s="3">
        <v>2.5170068027210801E-4</v>
      </c>
      <c r="I1199" s="101">
        <f t="shared" ref="I1199:I1203" si="36">H1199/$H$1198</f>
        <v>1.2333333333333365</v>
      </c>
      <c r="K1199" s="1"/>
      <c r="L1199" s="1"/>
    </row>
    <row r="1200" spans="1:12" s="4" customFormat="1" x14ac:dyDescent="0.2">
      <c r="A1200" s="65" t="s">
        <v>469</v>
      </c>
      <c r="B1200" s="66" t="s">
        <v>459</v>
      </c>
      <c r="C1200" s="2" t="s">
        <v>7</v>
      </c>
      <c r="D1200" s="1" t="s">
        <v>20</v>
      </c>
      <c r="E1200" s="2" t="s">
        <v>7</v>
      </c>
      <c r="F1200" s="1" t="s">
        <v>8</v>
      </c>
      <c r="G1200" s="70">
        <v>4</v>
      </c>
      <c r="H1200" s="3">
        <v>1.2312925170067999E-3</v>
      </c>
      <c r="I1200" s="101">
        <f t="shared" si="36"/>
        <v>6.0333333333333554</v>
      </c>
      <c r="K1200" s="1"/>
      <c r="L1200" s="1"/>
    </row>
    <row r="1201" spans="1:12" s="4" customFormat="1" x14ac:dyDescent="0.2">
      <c r="A1201" s="65" t="s">
        <v>469</v>
      </c>
      <c r="B1201" s="66" t="s">
        <v>459</v>
      </c>
      <c r="C1201" s="2" t="s">
        <v>7</v>
      </c>
      <c r="D1201" s="1" t="s">
        <v>20</v>
      </c>
      <c r="E1201" s="2" t="s">
        <v>7</v>
      </c>
      <c r="F1201" s="1" t="s">
        <v>8</v>
      </c>
      <c r="G1201" s="70">
        <v>10</v>
      </c>
      <c r="H1201" s="3">
        <v>5.1020408163265202E-4</v>
      </c>
      <c r="I1201" s="101">
        <f t="shared" si="36"/>
        <v>2.5000000000000098</v>
      </c>
      <c r="K1201" s="1"/>
      <c r="L1201" s="1"/>
    </row>
    <row r="1202" spans="1:12" s="4" customFormat="1" x14ac:dyDescent="0.2">
      <c r="A1202" s="65" t="s">
        <v>469</v>
      </c>
      <c r="B1202" s="66" t="s">
        <v>459</v>
      </c>
      <c r="C1202" s="2" t="s">
        <v>7</v>
      </c>
      <c r="D1202" s="1" t="s">
        <v>20</v>
      </c>
      <c r="E1202" s="2" t="s">
        <v>7</v>
      </c>
      <c r="F1202" s="1" t="s">
        <v>8</v>
      </c>
      <c r="G1202" s="70">
        <v>20</v>
      </c>
      <c r="H1202" s="3">
        <v>1.9047619047618899E-4</v>
      </c>
      <c r="I1202" s="101">
        <f t="shared" si="36"/>
        <v>0.93333333333333157</v>
      </c>
      <c r="K1202" s="1"/>
      <c r="L1202" s="1"/>
    </row>
    <row r="1203" spans="1:12" s="4" customFormat="1" x14ac:dyDescent="0.2">
      <c r="A1203" s="65" t="s">
        <v>469</v>
      </c>
      <c r="B1203" s="66" t="s">
        <v>459</v>
      </c>
      <c r="C1203" s="2" t="s">
        <v>7</v>
      </c>
      <c r="D1203" s="1" t="s">
        <v>20</v>
      </c>
      <c r="E1203" s="2" t="s">
        <v>7</v>
      </c>
      <c r="F1203" s="1" t="s">
        <v>8</v>
      </c>
      <c r="G1203" s="70">
        <v>40</v>
      </c>
      <c r="H1203" s="3">
        <v>5.4421768707482796E-4</v>
      </c>
      <c r="I1203" s="101">
        <f t="shared" si="36"/>
        <v>2.6666666666666727</v>
      </c>
      <c r="K1203" s="1"/>
      <c r="L1203" s="1"/>
    </row>
    <row r="1204" spans="1:12" s="4" customFormat="1" x14ac:dyDescent="0.2">
      <c r="A1204" s="65" t="s">
        <v>469</v>
      </c>
      <c r="B1204" s="66" t="s">
        <v>466</v>
      </c>
      <c r="C1204" s="2" t="s">
        <v>7</v>
      </c>
      <c r="D1204" s="1" t="s">
        <v>20</v>
      </c>
      <c r="E1204" s="2" t="s">
        <v>7</v>
      </c>
      <c r="F1204" s="1" t="s">
        <v>8</v>
      </c>
      <c r="G1204" s="70">
        <v>0</v>
      </c>
      <c r="H1204" s="3">
        <v>3.1186440677966002E-3</v>
      </c>
      <c r="I1204" s="101">
        <f>H1204/$H$1204</f>
        <v>1</v>
      </c>
      <c r="K1204" s="1"/>
      <c r="L1204" s="1"/>
    </row>
    <row r="1205" spans="1:12" s="4" customFormat="1" x14ac:dyDescent="0.2">
      <c r="A1205" s="65" t="s">
        <v>469</v>
      </c>
      <c r="B1205" s="66" t="s">
        <v>466</v>
      </c>
      <c r="C1205" s="2" t="s">
        <v>7</v>
      </c>
      <c r="D1205" s="1" t="s">
        <v>20</v>
      </c>
      <c r="E1205" s="2" t="s">
        <v>7</v>
      </c>
      <c r="F1205" s="1" t="s">
        <v>8</v>
      </c>
      <c r="G1205" s="70">
        <v>1</v>
      </c>
      <c r="H1205" s="3">
        <v>1.30169491525423E-2</v>
      </c>
      <c r="I1205" s="101">
        <f t="shared" ref="I1205:I1209" si="37">H1205/$H$1204</f>
        <v>4.173913043478251</v>
      </c>
      <c r="K1205" s="1"/>
      <c r="L1205" s="1"/>
    </row>
    <row r="1206" spans="1:12" s="4" customFormat="1" x14ac:dyDescent="0.2">
      <c r="A1206" s="65" t="s">
        <v>469</v>
      </c>
      <c r="B1206" s="66" t="s">
        <v>466</v>
      </c>
      <c r="C1206" s="2" t="s">
        <v>7</v>
      </c>
      <c r="D1206" s="1" t="s">
        <v>20</v>
      </c>
      <c r="E1206" s="2" t="s">
        <v>7</v>
      </c>
      <c r="F1206" s="1" t="s">
        <v>8</v>
      </c>
      <c r="G1206" s="70">
        <v>2</v>
      </c>
      <c r="H1206" s="3">
        <v>8.1355932203389797E-3</v>
      </c>
      <c r="I1206" s="101">
        <f t="shared" si="37"/>
        <v>2.6086956521739202</v>
      </c>
      <c r="K1206" s="1"/>
      <c r="L1206" s="1"/>
    </row>
    <row r="1207" spans="1:12" s="4" customFormat="1" x14ac:dyDescent="0.2">
      <c r="A1207" s="65" t="s">
        <v>469</v>
      </c>
      <c r="B1207" s="66" t="s">
        <v>466</v>
      </c>
      <c r="C1207" s="2" t="s">
        <v>7</v>
      </c>
      <c r="D1207" s="1" t="s">
        <v>20</v>
      </c>
      <c r="E1207" s="2" t="s">
        <v>7</v>
      </c>
      <c r="F1207" s="1" t="s">
        <v>8</v>
      </c>
      <c r="G1207" s="70">
        <v>5</v>
      </c>
      <c r="H1207" s="3">
        <v>1.1322033898305E-2</v>
      </c>
      <c r="I1207" s="101">
        <f t="shared" si="37"/>
        <v>3.6304347826086802</v>
      </c>
      <c r="K1207" s="1"/>
      <c r="L1207" s="1"/>
    </row>
    <row r="1208" spans="1:12" s="4" customFormat="1" x14ac:dyDescent="0.2">
      <c r="A1208" s="65" t="s">
        <v>469</v>
      </c>
      <c r="B1208" s="66" t="s">
        <v>466</v>
      </c>
      <c r="C1208" s="2" t="s">
        <v>7</v>
      </c>
      <c r="D1208" s="1" t="s">
        <v>20</v>
      </c>
      <c r="E1208" s="2" t="s">
        <v>7</v>
      </c>
      <c r="F1208" s="1" t="s">
        <v>8</v>
      </c>
      <c r="G1208" s="70">
        <v>10</v>
      </c>
      <c r="H1208" s="3">
        <v>1.41694915254237E-2</v>
      </c>
      <c r="I1208" s="101">
        <f t="shared" si="37"/>
        <v>4.5434782608695707</v>
      </c>
      <c r="K1208" s="1"/>
      <c r="L1208" s="1"/>
    </row>
    <row r="1209" spans="1:12" s="4" customFormat="1" x14ac:dyDescent="0.2">
      <c r="A1209" s="65" t="s">
        <v>469</v>
      </c>
      <c r="B1209" s="66" t="s">
        <v>466</v>
      </c>
      <c r="C1209" s="2" t="s">
        <v>7</v>
      </c>
      <c r="D1209" s="1" t="s">
        <v>20</v>
      </c>
      <c r="E1209" s="2" t="s">
        <v>7</v>
      </c>
      <c r="F1209" s="1" t="s">
        <v>8</v>
      </c>
      <c r="G1209" s="70">
        <v>20</v>
      </c>
      <c r="H1209" s="3">
        <v>9.0847457627118693E-3</v>
      </c>
      <c r="I1209" s="101">
        <f t="shared" si="37"/>
        <v>2.9130434782608803</v>
      </c>
      <c r="K1209" s="1"/>
      <c r="L1209" s="1"/>
    </row>
    <row r="1210" spans="1:12" s="4" customFormat="1" x14ac:dyDescent="0.2">
      <c r="A1210" s="65" t="s">
        <v>469</v>
      </c>
      <c r="B1210" s="66" t="s">
        <v>523</v>
      </c>
      <c r="C1210" s="2" t="s">
        <v>7</v>
      </c>
      <c r="D1210" s="1" t="s">
        <v>20</v>
      </c>
      <c r="E1210" s="2" t="s">
        <v>7</v>
      </c>
      <c r="F1210" s="1" t="s">
        <v>8</v>
      </c>
      <c r="G1210" s="70">
        <v>0</v>
      </c>
      <c r="H1210" s="3">
        <v>3.0918367346938701E-3</v>
      </c>
      <c r="I1210" s="101">
        <f>H1210/$H$1210</f>
        <v>1</v>
      </c>
      <c r="K1210" s="1"/>
      <c r="L1210" s="1"/>
    </row>
    <row r="1211" spans="1:12" s="4" customFormat="1" x14ac:dyDescent="0.2">
      <c r="A1211" s="65" t="s">
        <v>469</v>
      </c>
      <c r="B1211" s="66" t="s">
        <v>523</v>
      </c>
      <c r="C1211" s="2" t="s">
        <v>7</v>
      </c>
      <c r="D1211" s="1" t="s">
        <v>20</v>
      </c>
      <c r="E1211" s="2" t="s">
        <v>7</v>
      </c>
      <c r="F1211" s="1" t="s">
        <v>8</v>
      </c>
      <c r="G1211" s="70">
        <v>100</v>
      </c>
      <c r="H1211" s="3">
        <v>6.0306122448979503E-3</v>
      </c>
      <c r="I1211" s="101">
        <f t="shared" ref="I1211:I1215" si="38">H1211/$H$1210</f>
        <v>1.9504950495049522</v>
      </c>
      <c r="K1211" s="1"/>
      <c r="L1211" s="1"/>
    </row>
    <row r="1212" spans="1:12" s="4" customFormat="1" x14ac:dyDescent="0.2">
      <c r="A1212" s="65" t="s">
        <v>469</v>
      </c>
      <c r="B1212" s="66" t="s">
        <v>523</v>
      </c>
      <c r="C1212" s="2" t="s">
        <v>7</v>
      </c>
      <c r="D1212" s="1" t="s">
        <v>20</v>
      </c>
      <c r="E1212" s="2" t="s">
        <v>7</v>
      </c>
      <c r="F1212" s="1" t="s">
        <v>8</v>
      </c>
      <c r="G1212" s="70">
        <v>200</v>
      </c>
      <c r="H1212" s="3">
        <v>1.8367346938775401E-3</v>
      </c>
      <c r="I1212" s="101">
        <f t="shared" si="38"/>
        <v>0.59405940594059192</v>
      </c>
      <c r="K1212" s="1"/>
      <c r="L1212" s="1"/>
    </row>
    <row r="1213" spans="1:12" s="4" customFormat="1" x14ac:dyDescent="0.2">
      <c r="A1213" s="65" t="s">
        <v>469</v>
      </c>
      <c r="B1213" s="66" t="s">
        <v>523</v>
      </c>
      <c r="C1213" s="2" t="s">
        <v>7</v>
      </c>
      <c r="D1213" s="1" t="s">
        <v>20</v>
      </c>
      <c r="E1213" s="2" t="s">
        <v>7</v>
      </c>
      <c r="F1213" s="1" t="s">
        <v>8</v>
      </c>
      <c r="G1213" s="70">
        <v>500</v>
      </c>
      <c r="H1213" s="3">
        <v>8.26530612244899E-4</v>
      </c>
      <c r="I1213" s="101">
        <f t="shared" si="38"/>
        <v>0.26732673267326829</v>
      </c>
      <c r="K1213" s="1"/>
      <c r="L1213" s="1"/>
    </row>
    <row r="1214" spans="1:12" s="4" customFormat="1" x14ac:dyDescent="0.2">
      <c r="A1214" s="65" t="s">
        <v>469</v>
      </c>
      <c r="B1214" s="66" t="s">
        <v>523</v>
      </c>
      <c r="C1214" s="2" t="s">
        <v>7</v>
      </c>
      <c r="D1214" s="1" t="s">
        <v>20</v>
      </c>
      <c r="E1214" s="2" t="s">
        <v>7</v>
      </c>
      <c r="F1214" s="1" t="s">
        <v>8</v>
      </c>
      <c r="G1214" s="70">
        <v>1000</v>
      </c>
      <c r="H1214" s="3">
        <v>1.07142857142856E-3</v>
      </c>
      <c r="I1214" s="101">
        <f t="shared" si="38"/>
        <v>0.34653465346534368</v>
      </c>
      <c r="K1214" s="1"/>
      <c r="L1214" s="1"/>
    </row>
    <row r="1215" spans="1:12" s="4" customFormat="1" x14ac:dyDescent="0.2">
      <c r="A1215" s="65" t="s">
        <v>469</v>
      </c>
      <c r="B1215" s="66" t="s">
        <v>523</v>
      </c>
      <c r="C1215" s="2" t="s">
        <v>7</v>
      </c>
      <c r="D1215" s="1" t="s">
        <v>20</v>
      </c>
      <c r="E1215" s="2" t="s">
        <v>7</v>
      </c>
      <c r="F1215" s="1" t="s">
        <v>8</v>
      </c>
      <c r="G1215" s="70">
        <v>2000</v>
      </c>
      <c r="H1215" s="3">
        <v>4.5918367346937998E-4</v>
      </c>
      <c r="I1215" s="101">
        <f t="shared" si="38"/>
        <v>0.14851485148514634</v>
      </c>
      <c r="K1215" s="1"/>
      <c r="L1215" s="1"/>
    </row>
    <row r="1216" spans="1:12" s="4" customFormat="1" x14ac:dyDescent="0.2">
      <c r="A1216" s="65" t="s">
        <v>469</v>
      </c>
      <c r="B1216" s="66" t="s">
        <v>467</v>
      </c>
      <c r="C1216" s="2" t="s">
        <v>7</v>
      </c>
      <c r="D1216" s="1" t="s">
        <v>20</v>
      </c>
      <c r="E1216" s="2" t="s">
        <v>7</v>
      </c>
      <c r="F1216" s="1" t="s">
        <v>8</v>
      </c>
      <c r="G1216" s="70">
        <v>0</v>
      </c>
      <c r="H1216" s="3">
        <v>8.8474576271185996E-4</v>
      </c>
      <c r="I1216" s="101">
        <f>H1216/$H$1216</f>
        <v>1</v>
      </c>
      <c r="K1216" s="1"/>
      <c r="L1216" s="1"/>
    </row>
    <row r="1217" spans="1:12" s="4" customFormat="1" x14ac:dyDescent="0.2">
      <c r="A1217" s="65" t="s">
        <v>469</v>
      </c>
      <c r="B1217" s="66" t="s">
        <v>467</v>
      </c>
      <c r="C1217" s="2" t="s">
        <v>7</v>
      </c>
      <c r="D1217" s="1" t="s">
        <v>20</v>
      </c>
      <c r="E1217" s="2" t="s">
        <v>7</v>
      </c>
      <c r="F1217" s="1" t="s">
        <v>8</v>
      </c>
      <c r="G1217" s="70">
        <v>0.5</v>
      </c>
      <c r="H1217" s="3">
        <v>2.32881355932203E-3</v>
      </c>
      <c r="I1217" s="101">
        <f t="shared" ref="I1217:I1221" si="39">H1217/$H$1216</f>
        <v>2.6321839080459859</v>
      </c>
      <c r="K1217" s="1"/>
      <c r="L1217" s="1"/>
    </row>
    <row r="1218" spans="1:12" s="4" customFormat="1" x14ac:dyDescent="0.2">
      <c r="A1218" s="65" t="s">
        <v>469</v>
      </c>
      <c r="B1218" s="66" t="s">
        <v>467</v>
      </c>
      <c r="C1218" s="2" t="s">
        <v>7</v>
      </c>
      <c r="D1218" s="1" t="s">
        <v>20</v>
      </c>
      <c r="E1218" s="2" t="s">
        <v>7</v>
      </c>
      <c r="F1218" s="1" t="s">
        <v>8</v>
      </c>
      <c r="G1218" s="70">
        <v>1</v>
      </c>
      <c r="H1218" s="3">
        <v>1.5152542372881301E-3</v>
      </c>
      <c r="I1218" s="101">
        <f t="shared" si="39"/>
        <v>1.712643678160922</v>
      </c>
      <c r="K1218" s="1"/>
      <c r="L1218" s="1"/>
    </row>
    <row r="1219" spans="1:12" s="4" customFormat="1" x14ac:dyDescent="0.2">
      <c r="A1219" s="65" t="s">
        <v>469</v>
      </c>
      <c r="B1219" s="66" t="s">
        <v>467</v>
      </c>
      <c r="C1219" s="2" t="s">
        <v>7</v>
      </c>
      <c r="D1219" s="1" t="s">
        <v>20</v>
      </c>
      <c r="E1219" s="2" t="s">
        <v>7</v>
      </c>
      <c r="F1219" s="1" t="s">
        <v>8</v>
      </c>
      <c r="G1219" s="70">
        <v>2.5</v>
      </c>
      <c r="H1219" s="3">
        <v>1.52542372881353E-4</v>
      </c>
      <c r="I1219" s="101">
        <f t="shared" si="39"/>
        <v>0.17241379310344582</v>
      </c>
      <c r="K1219" s="1"/>
      <c r="L1219" s="1"/>
    </row>
    <row r="1220" spans="1:12" s="4" customFormat="1" x14ac:dyDescent="0.2">
      <c r="A1220" s="65" t="s">
        <v>469</v>
      </c>
      <c r="B1220" s="66" t="s">
        <v>467</v>
      </c>
      <c r="C1220" s="2" t="s">
        <v>7</v>
      </c>
      <c r="D1220" s="1" t="s">
        <v>20</v>
      </c>
      <c r="E1220" s="2" t="s">
        <v>7</v>
      </c>
      <c r="F1220" s="1" t="s">
        <v>8</v>
      </c>
      <c r="G1220" s="70">
        <v>5</v>
      </c>
      <c r="H1220" s="3">
        <v>1.72881355932199E-4</v>
      </c>
      <c r="I1220" s="101">
        <f t="shared" si="39"/>
        <v>0.19540229885057073</v>
      </c>
      <c r="K1220" s="1"/>
      <c r="L1220" s="1"/>
    </row>
    <row r="1221" spans="1:12" s="4" customFormat="1" x14ac:dyDescent="0.2">
      <c r="A1221" s="65" t="s">
        <v>469</v>
      </c>
      <c r="B1221" s="66" t="s">
        <v>467</v>
      </c>
      <c r="C1221" s="2" t="s">
        <v>7</v>
      </c>
      <c r="D1221" s="1" t="s">
        <v>20</v>
      </c>
      <c r="E1221" s="2" t="s">
        <v>7</v>
      </c>
      <c r="F1221" s="1" t="s">
        <v>8</v>
      </c>
      <c r="G1221" s="70">
        <v>10</v>
      </c>
      <c r="H1221" s="3">
        <v>1.01694915254206E-5</v>
      </c>
      <c r="I1221" s="101">
        <f t="shared" si="39"/>
        <v>1.149425287355974E-2</v>
      </c>
      <c r="K1221" s="1"/>
      <c r="L1221" s="1"/>
    </row>
    <row r="1222" spans="1:12" s="4" customFormat="1" x14ac:dyDescent="0.2">
      <c r="A1222" s="65" t="s">
        <v>469</v>
      </c>
      <c r="B1222" s="66" t="s">
        <v>465</v>
      </c>
      <c r="C1222" s="2" t="s">
        <v>7</v>
      </c>
      <c r="D1222" s="1" t="s">
        <v>20</v>
      </c>
      <c r="E1222" s="2" t="s">
        <v>468</v>
      </c>
      <c r="F1222" s="1"/>
      <c r="G1222" s="70">
        <v>0</v>
      </c>
      <c r="H1222" s="3">
        <v>3.1468531468532498E-2</v>
      </c>
      <c r="I1222" s="101">
        <f>H1222/$H$1222</f>
        <v>1</v>
      </c>
      <c r="K1222" s="1"/>
      <c r="L1222" s="1"/>
    </row>
    <row r="1223" spans="1:12" s="4" customFormat="1" x14ac:dyDescent="0.2">
      <c r="A1223" s="65" t="s">
        <v>469</v>
      </c>
      <c r="B1223" s="66" t="s">
        <v>465</v>
      </c>
      <c r="C1223" s="2" t="s">
        <v>7</v>
      </c>
      <c r="D1223" s="1" t="s">
        <v>20</v>
      </c>
      <c r="E1223" s="2" t="s">
        <v>468</v>
      </c>
      <c r="F1223" s="1"/>
      <c r="G1223" s="70">
        <v>0.5</v>
      </c>
      <c r="H1223" s="3">
        <v>4.1958041958042702E-2</v>
      </c>
      <c r="I1223" s="101">
        <f t="shared" ref="I1223:I1227" si="40">H1223/$H$1222</f>
        <v>1.3333333333333133</v>
      </c>
      <c r="K1223" s="1"/>
      <c r="L1223" s="1"/>
    </row>
    <row r="1224" spans="1:12" s="4" customFormat="1" x14ac:dyDescent="0.2">
      <c r="A1224" s="65" t="s">
        <v>469</v>
      </c>
      <c r="B1224" s="66" t="s">
        <v>465</v>
      </c>
      <c r="C1224" s="2" t="s">
        <v>7</v>
      </c>
      <c r="D1224" s="1" t="s">
        <v>20</v>
      </c>
      <c r="E1224" s="2" t="s">
        <v>468</v>
      </c>
      <c r="F1224" s="1"/>
      <c r="G1224" s="70">
        <v>1</v>
      </c>
      <c r="H1224" s="3">
        <v>0.20979020979021001</v>
      </c>
      <c r="I1224" s="101">
        <f t="shared" si="40"/>
        <v>6.6666666666664556</v>
      </c>
      <c r="K1224" s="1"/>
      <c r="L1224" s="1"/>
    </row>
    <row r="1225" spans="1:12" s="4" customFormat="1" x14ac:dyDescent="0.2">
      <c r="A1225" s="65" t="s">
        <v>469</v>
      </c>
      <c r="B1225" s="66" t="s">
        <v>465</v>
      </c>
      <c r="C1225" s="2" t="s">
        <v>7</v>
      </c>
      <c r="D1225" s="1" t="s">
        <v>20</v>
      </c>
      <c r="E1225" s="2" t="s">
        <v>468</v>
      </c>
      <c r="F1225" s="1"/>
      <c r="G1225" s="70">
        <v>2.5</v>
      </c>
      <c r="H1225" s="3">
        <v>0.12237762237762299</v>
      </c>
      <c r="I1225" s="101">
        <f t="shared" si="40"/>
        <v>3.8888888888887814</v>
      </c>
      <c r="K1225" s="1"/>
      <c r="L1225" s="1"/>
    </row>
    <row r="1226" spans="1:12" s="4" customFormat="1" x14ac:dyDescent="0.2">
      <c r="A1226" s="65" t="s">
        <v>469</v>
      </c>
      <c r="B1226" s="66" t="s">
        <v>465</v>
      </c>
      <c r="C1226" s="2" t="s">
        <v>7</v>
      </c>
      <c r="D1226" s="1" t="s">
        <v>20</v>
      </c>
      <c r="E1226" s="2" t="s">
        <v>468</v>
      </c>
      <c r="F1226" s="1"/>
      <c r="G1226" s="70">
        <v>5</v>
      </c>
      <c r="H1226" s="3">
        <v>0.23776223776223701</v>
      </c>
      <c r="I1226" s="101">
        <f t="shared" si="40"/>
        <v>7.5555555555552845</v>
      </c>
      <c r="K1226" s="1"/>
      <c r="L1226" s="1"/>
    </row>
    <row r="1227" spans="1:12" s="4" customFormat="1" x14ac:dyDescent="0.2">
      <c r="A1227" s="65" t="s">
        <v>469</v>
      </c>
      <c r="B1227" s="66" t="s">
        <v>465</v>
      </c>
      <c r="C1227" s="2" t="s">
        <v>7</v>
      </c>
      <c r="D1227" s="1" t="s">
        <v>20</v>
      </c>
      <c r="E1227" s="2" t="s">
        <v>468</v>
      </c>
      <c r="F1227" s="1"/>
      <c r="G1227" s="70">
        <v>10</v>
      </c>
      <c r="H1227" s="3">
        <v>0.965034965034966</v>
      </c>
      <c r="I1227" s="101">
        <f t="shared" si="40"/>
        <v>30.666666666665694</v>
      </c>
      <c r="K1227" s="1"/>
      <c r="L1227" s="1"/>
    </row>
    <row r="1228" spans="1:12" s="4" customFormat="1" x14ac:dyDescent="0.2">
      <c r="A1228" s="65" t="s">
        <v>469</v>
      </c>
      <c r="B1228" s="66" t="s">
        <v>459</v>
      </c>
      <c r="C1228" s="2" t="s">
        <v>7</v>
      </c>
      <c r="D1228" s="1" t="s">
        <v>20</v>
      </c>
      <c r="E1228" s="2" t="s">
        <v>468</v>
      </c>
      <c r="F1228" s="1"/>
      <c r="G1228" s="70">
        <v>0</v>
      </c>
      <c r="H1228" s="3">
        <v>0.102649006622516</v>
      </c>
      <c r="I1228" s="101">
        <f>H1228/$H$1228</f>
        <v>1</v>
      </c>
      <c r="K1228" s="1"/>
      <c r="L1228" s="1"/>
    </row>
    <row r="1229" spans="1:12" s="4" customFormat="1" x14ac:dyDescent="0.2">
      <c r="A1229" s="65" t="s">
        <v>469</v>
      </c>
      <c r="B1229" s="66" t="s">
        <v>459</v>
      </c>
      <c r="C1229" s="2" t="s">
        <v>7</v>
      </c>
      <c r="D1229" s="1" t="s">
        <v>20</v>
      </c>
      <c r="E1229" s="2" t="s">
        <v>468</v>
      </c>
      <c r="F1229" s="1"/>
      <c r="G1229" s="70">
        <v>2</v>
      </c>
      <c r="H1229" s="3">
        <v>0.20860927152317801</v>
      </c>
      <c r="I1229" s="101">
        <f t="shared" ref="I1229:I1233" si="41">H1229/$H$1228</f>
        <v>2.0322580645161326</v>
      </c>
      <c r="K1229" s="1"/>
      <c r="L1229" s="1"/>
    </row>
    <row r="1230" spans="1:12" s="4" customFormat="1" x14ac:dyDescent="0.2">
      <c r="A1230" s="65" t="s">
        <v>469</v>
      </c>
      <c r="B1230" s="66" t="s">
        <v>459</v>
      </c>
      <c r="C1230" s="2" t="s">
        <v>7</v>
      </c>
      <c r="D1230" s="1" t="s">
        <v>20</v>
      </c>
      <c r="E1230" s="2" t="s">
        <v>468</v>
      </c>
      <c r="F1230" s="1"/>
      <c r="G1230" s="70">
        <v>4</v>
      </c>
      <c r="H1230" s="3">
        <v>0.86754966887417195</v>
      </c>
      <c r="I1230" s="101">
        <f t="shared" si="41"/>
        <v>8.4516129032258505</v>
      </c>
      <c r="K1230" s="1"/>
      <c r="L1230" s="1"/>
    </row>
    <row r="1231" spans="1:12" s="4" customFormat="1" x14ac:dyDescent="0.2">
      <c r="A1231" s="65" t="s">
        <v>469</v>
      </c>
      <c r="B1231" s="66" t="s">
        <v>459</v>
      </c>
      <c r="C1231" s="2" t="s">
        <v>7</v>
      </c>
      <c r="D1231" s="1" t="s">
        <v>20</v>
      </c>
      <c r="E1231" s="2" t="s">
        <v>468</v>
      </c>
      <c r="F1231" s="1"/>
      <c r="G1231" s="70">
        <v>10</v>
      </c>
      <c r="H1231" s="3">
        <v>0.45364238410595897</v>
      </c>
      <c r="I1231" s="101">
        <f t="shared" si="41"/>
        <v>4.4193548387096886</v>
      </c>
      <c r="K1231" s="1"/>
      <c r="L1231" s="1"/>
    </row>
    <row r="1232" spans="1:12" s="4" customFormat="1" x14ac:dyDescent="0.2">
      <c r="A1232" s="65" t="s">
        <v>469</v>
      </c>
      <c r="B1232" s="66" t="s">
        <v>459</v>
      </c>
      <c r="C1232" s="2" t="s">
        <v>7</v>
      </c>
      <c r="D1232" s="1" t="s">
        <v>20</v>
      </c>
      <c r="E1232" s="2" t="s">
        <v>468</v>
      </c>
      <c r="F1232" s="1"/>
      <c r="G1232" s="70">
        <v>20</v>
      </c>
      <c r="H1232" s="3">
        <v>0.41059602649006599</v>
      </c>
      <c r="I1232" s="101">
        <f t="shared" si="41"/>
        <v>4.0000000000000195</v>
      </c>
      <c r="K1232" s="1"/>
      <c r="L1232" s="1"/>
    </row>
    <row r="1233" spans="1:12" s="4" customFormat="1" x14ac:dyDescent="0.2">
      <c r="A1233" s="65" t="s">
        <v>469</v>
      </c>
      <c r="B1233" s="66" t="s">
        <v>459</v>
      </c>
      <c r="C1233" s="2" t="s">
        <v>7</v>
      </c>
      <c r="D1233" s="1" t="s">
        <v>20</v>
      </c>
      <c r="E1233" s="2" t="s">
        <v>468</v>
      </c>
      <c r="F1233" s="1"/>
      <c r="G1233" s="70">
        <v>40</v>
      </c>
      <c r="H1233" s="3">
        <v>1.65562913907276E-2</v>
      </c>
      <c r="I1233" s="101">
        <f t="shared" si="41"/>
        <v>0.1612903225806375</v>
      </c>
      <c r="K1233" s="1"/>
      <c r="L1233" s="1"/>
    </row>
    <row r="1234" spans="1:12" s="4" customFormat="1" x14ac:dyDescent="0.2">
      <c r="A1234" s="65" t="s">
        <v>469</v>
      </c>
      <c r="B1234" s="66" t="s">
        <v>466</v>
      </c>
      <c r="C1234" s="2" t="s">
        <v>7</v>
      </c>
      <c r="D1234" s="1" t="s">
        <v>20</v>
      </c>
      <c r="E1234" s="2" t="s">
        <v>468</v>
      </c>
      <c r="F1234" s="1"/>
      <c r="G1234" s="70">
        <v>0</v>
      </c>
      <c r="H1234" s="3">
        <v>2.9391891891891699E-2</v>
      </c>
      <c r="I1234" s="101">
        <f>H1234/$H$1234</f>
        <v>1</v>
      </c>
      <c r="K1234" s="1"/>
      <c r="L1234" s="1"/>
    </row>
    <row r="1235" spans="1:12" s="4" customFormat="1" x14ac:dyDescent="0.2">
      <c r="A1235" s="65" t="s">
        <v>469</v>
      </c>
      <c r="B1235" s="66" t="s">
        <v>466</v>
      </c>
      <c r="C1235" s="2" t="s">
        <v>7</v>
      </c>
      <c r="D1235" s="1" t="s">
        <v>20</v>
      </c>
      <c r="E1235" s="2" t="s">
        <v>468</v>
      </c>
      <c r="F1235" s="1"/>
      <c r="G1235" s="70">
        <v>1</v>
      </c>
      <c r="H1235" s="3">
        <v>0.14087837837837799</v>
      </c>
      <c r="I1235" s="101">
        <f t="shared" ref="I1235:I1239" si="42">H1235/$H$1234</f>
        <v>4.7931034482758808</v>
      </c>
      <c r="K1235" s="1"/>
      <c r="L1235" s="1"/>
    </row>
    <row r="1236" spans="1:12" s="4" customFormat="1" x14ac:dyDescent="0.2">
      <c r="A1236" s="65" t="s">
        <v>469</v>
      </c>
      <c r="B1236" s="66" t="s">
        <v>466</v>
      </c>
      <c r="C1236" s="2" t="s">
        <v>7</v>
      </c>
      <c r="D1236" s="1" t="s">
        <v>20</v>
      </c>
      <c r="E1236" s="2" t="s">
        <v>468</v>
      </c>
      <c r="F1236" s="1"/>
      <c r="G1236" s="70">
        <v>2</v>
      </c>
      <c r="H1236" s="3">
        <v>9.2229729729729398E-2</v>
      </c>
      <c r="I1236" s="101">
        <f t="shared" si="42"/>
        <v>3.1379310344827678</v>
      </c>
      <c r="K1236" s="1"/>
      <c r="L1236" s="1"/>
    </row>
    <row r="1237" spans="1:12" s="4" customFormat="1" x14ac:dyDescent="0.2">
      <c r="A1237" s="65" t="s">
        <v>469</v>
      </c>
      <c r="B1237" s="66" t="s">
        <v>466</v>
      </c>
      <c r="C1237" s="2" t="s">
        <v>7</v>
      </c>
      <c r="D1237" s="1" t="s">
        <v>20</v>
      </c>
      <c r="E1237" s="2" t="s">
        <v>468</v>
      </c>
      <c r="F1237" s="1"/>
      <c r="G1237" s="70">
        <v>5</v>
      </c>
      <c r="H1237" s="3">
        <v>4.0540540540540501E-2</v>
      </c>
      <c r="I1237" s="101">
        <f t="shared" si="42"/>
        <v>1.3793103448275938</v>
      </c>
      <c r="K1237" s="1"/>
      <c r="L1237" s="1"/>
    </row>
    <row r="1238" spans="1:12" s="4" customFormat="1" x14ac:dyDescent="0.2">
      <c r="A1238" s="65" t="s">
        <v>469</v>
      </c>
      <c r="B1238" s="66" t="s">
        <v>466</v>
      </c>
      <c r="C1238" s="2" t="s">
        <v>7</v>
      </c>
      <c r="D1238" s="1" t="s">
        <v>20</v>
      </c>
      <c r="E1238" s="2" t="s">
        <v>468</v>
      </c>
      <c r="F1238" s="1"/>
      <c r="G1238" s="70">
        <v>10</v>
      </c>
      <c r="H1238" s="3">
        <v>0.25439189189189099</v>
      </c>
      <c r="I1238" s="101">
        <f t="shared" si="42"/>
        <v>8.6551724137931298</v>
      </c>
      <c r="K1238" s="1"/>
      <c r="L1238" s="1"/>
    </row>
    <row r="1239" spans="1:12" s="4" customFormat="1" x14ac:dyDescent="0.2">
      <c r="A1239" s="65" t="s">
        <v>469</v>
      </c>
      <c r="B1239" s="66" t="s">
        <v>466</v>
      </c>
      <c r="C1239" s="2" t="s">
        <v>7</v>
      </c>
      <c r="D1239" s="1" t="s">
        <v>20</v>
      </c>
      <c r="E1239" s="2" t="s">
        <v>468</v>
      </c>
      <c r="F1239" s="1"/>
      <c r="G1239" s="70">
        <v>20</v>
      </c>
      <c r="H1239" s="3">
        <v>2.0270270270271499E-3</v>
      </c>
      <c r="I1239" s="101">
        <f t="shared" si="42"/>
        <v>6.8965517241383945E-2</v>
      </c>
      <c r="K1239" s="1"/>
      <c r="L1239" s="1"/>
    </row>
    <row r="1240" spans="1:12" s="4" customFormat="1" x14ac:dyDescent="0.2">
      <c r="A1240" s="65" t="s">
        <v>469</v>
      </c>
      <c r="B1240" s="66" t="s">
        <v>523</v>
      </c>
      <c r="C1240" s="2" t="s">
        <v>7</v>
      </c>
      <c r="D1240" s="1" t="s">
        <v>20</v>
      </c>
      <c r="E1240" s="2" t="s">
        <v>468</v>
      </c>
      <c r="F1240" s="1"/>
      <c r="G1240" s="70">
        <v>0</v>
      </c>
      <c r="H1240" s="3">
        <v>6.8571428571428006E-2</v>
      </c>
      <c r="I1240" s="101">
        <f>H1240/$H$1240</f>
        <v>1</v>
      </c>
      <c r="K1240" s="1"/>
      <c r="L1240" s="1"/>
    </row>
    <row r="1241" spans="1:12" s="4" customFormat="1" x14ac:dyDescent="0.2">
      <c r="A1241" s="65" t="s">
        <v>469</v>
      </c>
      <c r="B1241" s="66" t="s">
        <v>523</v>
      </c>
      <c r="C1241" s="2" t="s">
        <v>7</v>
      </c>
      <c r="D1241" s="1" t="s">
        <v>20</v>
      </c>
      <c r="E1241" s="2" t="s">
        <v>468</v>
      </c>
      <c r="F1241" s="1"/>
      <c r="G1241" s="70">
        <v>100</v>
      </c>
      <c r="H1241" s="3">
        <v>3.8272425249169399E-2</v>
      </c>
      <c r="I1241" s="101">
        <f t="shared" ref="I1241:I1245" si="43">H1241/$H$1240</f>
        <v>0.55813953488372503</v>
      </c>
      <c r="K1241" s="1"/>
      <c r="L1241" s="1"/>
    </row>
    <row r="1242" spans="1:12" s="4" customFormat="1" x14ac:dyDescent="0.2">
      <c r="A1242" s="65" t="s">
        <v>469</v>
      </c>
      <c r="B1242" s="66" t="s">
        <v>523</v>
      </c>
      <c r="C1242" s="2" t="s">
        <v>7</v>
      </c>
      <c r="D1242" s="1" t="s">
        <v>20</v>
      </c>
      <c r="E1242" s="2" t="s">
        <v>468</v>
      </c>
      <c r="F1242" s="1"/>
      <c r="G1242" s="70">
        <v>200</v>
      </c>
      <c r="H1242" s="3">
        <v>7.8139534883720801E-2</v>
      </c>
      <c r="I1242" s="101">
        <f t="shared" si="43"/>
        <v>1.1395348837209378</v>
      </c>
      <c r="K1242" s="1"/>
      <c r="L1242" s="1"/>
    </row>
    <row r="1243" spans="1:12" s="4" customFormat="1" x14ac:dyDescent="0.2">
      <c r="A1243" s="65" t="s">
        <v>469</v>
      </c>
      <c r="B1243" s="66" t="s">
        <v>523</v>
      </c>
      <c r="C1243" s="2" t="s">
        <v>7</v>
      </c>
      <c r="D1243" s="1" t="s">
        <v>20</v>
      </c>
      <c r="E1243" s="2" t="s">
        <v>468</v>
      </c>
      <c r="F1243" s="1"/>
      <c r="G1243" s="70">
        <v>500</v>
      </c>
      <c r="H1243" s="3">
        <v>0.17063122923588001</v>
      </c>
      <c r="I1243" s="101">
        <f t="shared" si="43"/>
        <v>2.4883720930232704</v>
      </c>
      <c r="K1243" s="1"/>
      <c r="L1243" s="1"/>
    </row>
    <row r="1244" spans="1:12" s="4" customFormat="1" x14ac:dyDescent="0.2">
      <c r="A1244" s="65" t="s">
        <v>469</v>
      </c>
      <c r="B1244" s="66" t="s">
        <v>523</v>
      </c>
      <c r="C1244" s="2" t="s">
        <v>7</v>
      </c>
      <c r="D1244" s="1" t="s">
        <v>20</v>
      </c>
      <c r="E1244" s="2" t="s">
        <v>468</v>
      </c>
      <c r="F1244" s="1"/>
      <c r="G1244" s="70">
        <v>1000</v>
      </c>
      <c r="H1244" s="3">
        <v>0.111627906976744</v>
      </c>
      <c r="I1244" s="101">
        <f t="shared" si="43"/>
        <v>1.6279069767441967</v>
      </c>
      <c r="K1244" s="1"/>
      <c r="L1244" s="1"/>
    </row>
    <row r="1245" spans="1:12" s="4" customFormat="1" x14ac:dyDescent="0.2">
      <c r="A1245" s="65" t="s">
        <v>469</v>
      </c>
      <c r="B1245" s="66" t="s">
        <v>523</v>
      </c>
      <c r="C1245" s="2" t="s">
        <v>7</v>
      </c>
      <c r="D1245" s="1" t="s">
        <v>20</v>
      </c>
      <c r="E1245" s="2" t="s">
        <v>468</v>
      </c>
      <c r="F1245" s="1"/>
      <c r="G1245" s="70">
        <v>2000</v>
      </c>
      <c r="H1245" s="3">
        <v>9.4086378737541596E-2</v>
      </c>
      <c r="I1245" s="101">
        <f t="shared" si="43"/>
        <v>1.3720930232558262</v>
      </c>
      <c r="K1245" s="1"/>
      <c r="L1245" s="1"/>
    </row>
    <row r="1246" spans="1:12" s="4" customFormat="1" x14ac:dyDescent="0.2">
      <c r="A1246" s="65" t="s">
        <v>469</v>
      </c>
      <c r="B1246" s="66" t="s">
        <v>467</v>
      </c>
      <c r="C1246" s="2" t="s">
        <v>7</v>
      </c>
      <c r="D1246" s="1" t="s">
        <v>20</v>
      </c>
      <c r="E1246" s="2" t="s">
        <v>468</v>
      </c>
      <c r="F1246" s="1"/>
      <c r="G1246" s="70">
        <v>0</v>
      </c>
      <c r="H1246" s="3">
        <v>9.0909090909089205E-2</v>
      </c>
      <c r="I1246" s="101">
        <f>H1246/$H$1246</f>
        <v>1</v>
      </c>
      <c r="K1246" s="1"/>
      <c r="L1246" s="1"/>
    </row>
    <row r="1247" spans="1:12" s="4" customFormat="1" x14ac:dyDescent="0.2">
      <c r="A1247" s="65" t="s">
        <v>469</v>
      </c>
      <c r="B1247" s="66" t="s">
        <v>467</v>
      </c>
      <c r="C1247" s="2" t="s">
        <v>7</v>
      </c>
      <c r="D1247" s="1" t="s">
        <v>20</v>
      </c>
      <c r="E1247" s="2" t="s">
        <v>468</v>
      </c>
      <c r="F1247" s="1"/>
      <c r="G1247" s="70">
        <v>0.5</v>
      </c>
      <c r="H1247" s="3">
        <v>0.35353535353535198</v>
      </c>
      <c r="I1247" s="101">
        <f t="shared" ref="I1247:I1251" si="44">H1247/$H$1246</f>
        <v>3.8888888888889448</v>
      </c>
      <c r="K1247" s="1"/>
      <c r="L1247" s="1"/>
    </row>
    <row r="1248" spans="1:12" s="4" customFormat="1" x14ac:dyDescent="0.2">
      <c r="A1248" s="65" t="s">
        <v>469</v>
      </c>
      <c r="B1248" s="66" t="s">
        <v>467</v>
      </c>
      <c r="C1248" s="2" t="s">
        <v>7</v>
      </c>
      <c r="D1248" s="1" t="s">
        <v>20</v>
      </c>
      <c r="E1248" s="2" t="s">
        <v>468</v>
      </c>
      <c r="F1248" s="1"/>
      <c r="G1248" s="70">
        <v>1</v>
      </c>
      <c r="H1248" s="3">
        <v>0.276094276094276</v>
      </c>
      <c r="I1248" s="101">
        <f t="shared" si="44"/>
        <v>3.0370370370370932</v>
      </c>
      <c r="K1248" s="1"/>
      <c r="L1248" s="1"/>
    </row>
    <row r="1249" spans="1:12" s="4" customFormat="1" x14ac:dyDescent="0.2">
      <c r="A1249" s="65" t="s">
        <v>469</v>
      </c>
      <c r="B1249" s="66" t="s">
        <v>467</v>
      </c>
      <c r="C1249" s="2" t="s">
        <v>7</v>
      </c>
      <c r="D1249" s="1" t="s">
        <v>20</v>
      </c>
      <c r="E1249" s="2" t="s">
        <v>468</v>
      </c>
      <c r="F1249" s="1"/>
      <c r="G1249" s="70">
        <v>2.5</v>
      </c>
      <c r="H1249" s="3">
        <v>0.74410774410774405</v>
      </c>
      <c r="I1249" s="101">
        <f t="shared" si="44"/>
        <v>8.1851851851853379</v>
      </c>
      <c r="K1249" s="1"/>
      <c r="L1249" s="1"/>
    </row>
    <row r="1250" spans="1:12" s="4" customFormat="1" x14ac:dyDescent="0.2">
      <c r="A1250" s="65" t="s">
        <v>469</v>
      </c>
      <c r="B1250" s="66" t="s">
        <v>467</v>
      </c>
      <c r="C1250" s="2" t="s">
        <v>7</v>
      </c>
      <c r="D1250" s="1" t="s">
        <v>20</v>
      </c>
      <c r="E1250" s="2" t="s">
        <v>468</v>
      </c>
      <c r="F1250" s="1"/>
      <c r="G1250" s="70">
        <v>5</v>
      </c>
      <c r="H1250" s="3">
        <v>0.117845117845117</v>
      </c>
      <c r="I1250" s="101">
        <f t="shared" si="44"/>
        <v>1.2962962962963114</v>
      </c>
      <c r="K1250" s="1"/>
      <c r="L1250" s="1"/>
    </row>
    <row r="1251" spans="1:12" s="4" customFormat="1" x14ac:dyDescent="0.2">
      <c r="A1251" s="65" t="s">
        <v>469</v>
      </c>
      <c r="B1251" s="66" t="s">
        <v>467</v>
      </c>
      <c r="C1251" s="2" t="s">
        <v>7</v>
      </c>
      <c r="D1251" s="1" t="s">
        <v>20</v>
      </c>
      <c r="E1251" s="2" t="s">
        <v>468</v>
      </c>
      <c r="F1251" s="1"/>
      <c r="G1251" s="70">
        <v>10</v>
      </c>
      <c r="H1251" s="3">
        <v>5.3872053872053099E-2</v>
      </c>
      <c r="I1251" s="101">
        <f t="shared" si="44"/>
        <v>0.59259259259259522</v>
      </c>
      <c r="K1251" s="1"/>
      <c r="L1251" s="1"/>
    </row>
    <row r="1252" spans="1:12" s="4" customFormat="1" x14ac:dyDescent="0.2">
      <c r="A1252" s="65" t="s">
        <v>470</v>
      </c>
      <c r="B1252" s="66" t="s">
        <v>465</v>
      </c>
      <c r="C1252" s="2" t="s">
        <v>7</v>
      </c>
      <c r="D1252" s="1" t="s">
        <v>20</v>
      </c>
      <c r="E1252" s="2" t="s">
        <v>461</v>
      </c>
      <c r="F1252" s="1" t="s">
        <v>462</v>
      </c>
      <c r="G1252" s="70">
        <v>0</v>
      </c>
      <c r="H1252" s="3">
        <v>8.9543446244477103E-6</v>
      </c>
      <c r="I1252" s="101">
        <f>H1252/$H$1252</f>
        <v>1</v>
      </c>
      <c r="K1252" s="1"/>
      <c r="L1252" s="1"/>
    </row>
    <row r="1253" spans="1:12" s="4" customFormat="1" x14ac:dyDescent="0.2">
      <c r="A1253" s="65" t="s">
        <v>470</v>
      </c>
      <c r="B1253" s="66" t="s">
        <v>465</v>
      </c>
      <c r="C1253" s="2" t="s">
        <v>7</v>
      </c>
      <c r="D1253" s="1" t="s">
        <v>20</v>
      </c>
      <c r="E1253" s="2" t="s">
        <v>461</v>
      </c>
      <c r="F1253" s="1" t="s">
        <v>462</v>
      </c>
      <c r="G1253" s="70">
        <v>0.25</v>
      </c>
      <c r="H1253" s="3">
        <v>3.0633284241531601E-5</v>
      </c>
      <c r="I1253" s="101">
        <f t="shared" ref="I1253:I1258" si="45">H1253/$H$1252</f>
        <v>3.4210526315789429</v>
      </c>
      <c r="K1253" s="1"/>
      <c r="L1253" s="1"/>
    </row>
    <row r="1254" spans="1:12" s="4" customFormat="1" x14ac:dyDescent="0.2">
      <c r="A1254" s="65" t="s">
        <v>470</v>
      </c>
      <c r="B1254" s="66" t="s">
        <v>465</v>
      </c>
      <c r="C1254" s="2" t="s">
        <v>7</v>
      </c>
      <c r="D1254" s="1" t="s">
        <v>20</v>
      </c>
      <c r="E1254" s="2" t="s">
        <v>461</v>
      </c>
      <c r="F1254" s="1" t="s">
        <v>462</v>
      </c>
      <c r="G1254" s="70">
        <v>0.5</v>
      </c>
      <c r="H1254" s="3">
        <v>3.7113402061855599E-5</v>
      </c>
      <c r="I1254" s="101">
        <f t="shared" si="45"/>
        <v>4.1447368421052584</v>
      </c>
      <c r="K1254" s="1"/>
      <c r="L1254" s="1"/>
    </row>
    <row r="1255" spans="1:12" s="4" customFormat="1" x14ac:dyDescent="0.2">
      <c r="A1255" s="65" t="s">
        <v>470</v>
      </c>
      <c r="B1255" s="66" t="s">
        <v>465</v>
      </c>
      <c r="C1255" s="2" t="s">
        <v>7</v>
      </c>
      <c r="D1255" s="1" t="s">
        <v>20</v>
      </c>
      <c r="E1255" s="2" t="s">
        <v>461</v>
      </c>
      <c r="F1255" s="1" t="s">
        <v>462</v>
      </c>
      <c r="G1255" s="70">
        <v>1</v>
      </c>
      <c r="H1255" s="3">
        <v>1.34315169366715E-5</v>
      </c>
      <c r="I1255" s="101">
        <f t="shared" si="45"/>
        <v>1.4999999999999927</v>
      </c>
      <c r="K1255" s="1"/>
      <c r="L1255" s="1"/>
    </row>
    <row r="1256" spans="1:12" s="4" customFormat="1" x14ac:dyDescent="0.2">
      <c r="A1256" s="65" t="s">
        <v>470</v>
      </c>
      <c r="B1256" s="66" t="s">
        <v>465</v>
      </c>
      <c r="C1256" s="2" t="s">
        <v>7</v>
      </c>
      <c r="D1256" s="1" t="s">
        <v>20</v>
      </c>
      <c r="E1256" s="2" t="s">
        <v>461</v>
      </c>
      <c r="F1256" s="1" t="s">
        <v>462</v>
      </c>
      <c r="G1256" s="70">
        <v>2.5</v>
      </c>
      <c r="H1256" s="3">
        <v>1.76730486008836E-5</v>
      </c>
      <c r="I1256" s="101">
        <f t="shared" si="45"/>
        <v>1.9736842105263115</v>
      </c>
      <c r="K1256" s="1"/>
      <c r="L1256" s="1"/>
    </row>
    <row r="1257" spans="1:12" s="4" customFormat="1" x14ac:dyDescent="0.2">
      <c r="A1257" s="65" t="s">
        <v>470</v>
      </c>
      <c r="B1257" s="66" t="s">
        <v>465</v>
      </c>
      <c r="C1257" s="2" t="s">
        <v>7</v>
      </c>
      <c r="D1257" s="1" t="s">
        <v>20</v>
      </c>
      <c r="E1257" s="2" t="s">
        <v>461</v>
      </c>
      <c r="F1257" s="1" t="s">
        <v>462</v>
      </c>
      <c r="G1257" s="70">
        <v>5</v>
      </c>
      <c r="H1257" s="3">
        <v>3.0397643593519801E-5</v>
      </c>
      <c r="I1257" s="101">
        <f t="shared" si="45"/>
        <v>3.3947368421052566</v>
      </c>
      <c r="K1257" s="1"/>
      <c r="L1257" s="1"/>
    </row>
    <row r="1258" spans="1:12" s="4" customFormat="1" x14ac:dyDescent="0.2">
      <c r="A1258" s="65" t="s">
        <v>470</v>
      </c>
      <c r="B1258" s="66" t="s">
        <v>465</v>
      </c>
      <c r="C1258" s="2" t="s">
        <v>7</v>
      </c>
      <c r="D1258" s="1" t="s">
        <v>20</v>
      </c>
      <c r="E1258" s="2" t="s">
        <v>461</v>
      </c>
      <c r="F1258" s="1" t="s">
        <v>462</v>
      </c>
      <c r="G1258" s="70">
        <v>10</v>
      </c>
      <c r="H1258" s="3">
        <v>4.0530191458026502E-5</v>
      </c>
      <c r="I1258" s="101">
        <f t="shared" si="45"/>
        <v>4.5263157894736867</v>
      </c>
      <c r="K1258" s="1"/>
      <c r="L1258" s="1"/>
    </row>
    <row r="1259" spans="1:12" s="4" customFormat="1" x14ac:dyDescent="0.2">
      <c r="A1259" s="65">
        <v>156</v>
      </c>
      <c r="B1259" s="1" t="s">
        <v>499</v>
      </c>
      <c r="C1259" s="2" t="s">
        <v>7</v>
      </c>
      <c r="D1259" s="1" t="s">
        <v>20</v>
      </c>
      <c r="E1259" s="2" t="s">
        <v>7</v>
      </c>
      <c r="F1259" s="1" t="s">
        <v>35</v>
      </c>
      <c r="G1259" s="70">
        <v>0</v>
      </c>
      <c r="H1259" s="67">
        <v>1.2200000000000001E-2</v>
      </c>
      <c r="I1259" s="103">
        <v>1</v>
      </c>
      <c r="K1259" s="1"/>
      <c r="L1259" s="1"/>
    </row>
    <row r="1260" spans="1:12" s="4" customFormat="1" x14ac:dyDescent="0.2">
      <c r="A1260" s="65">
        <v>156</v>
      </c>
      <c r="B1260" s="1" t="s">
        <v>499</v>
      </c>
      <c r="C1260" s="2" t="s">
        <v>7</v>
      </c>
      <c r="D1260" s="1" t="s">
        <v>20</v>
      </c>
      <c r="E1260" s="2" t="s">
        <v>7</v>
      </c>
      <c r="F1260" s="1" t="s">
        <v>35</v>
      </c>
      <c r="G1260" s="70">
        <v>1E-3</v>
      </c>
      <c r="H1260" s="67">
        <v>2.0299999999999999E-2</v>
      </c>
      <c r="I1260" s="103">
        <v>1.67</v>
      </c>
      <c r="K1260" s="1"/>
      <c r="L1260" s="1"/>
    </row>
    <row r="1261" spans="1:12" s="4" customFormat="1" x14ac:dyDescent="0.2">
      <c r="A1261" s="65">
        <v>156</v>
      </c>
      <c r="B1261" s="1" t="s">
        <v>499</v>
      </c>
      <c r="C1261" s="2" t="s">
        <v>7</v>
      </c>
      <c r="D1261" s="1" t="s">
        <v>20</v>
      </c>
      <c r="E1261" s="2" t="s">
        <v>7</v>
      </c>
      <c r="F1261" s="1" t="s">
        <v>35</v>
      </c>
      <c r="G1261" s="70">
        <v>0.01</v>
      </c>
      <c r="H1261" s="67">
        <v>1.7600000000000001E-2</v>
      </c>
      <c r="I1261" s="103">
        <v>1.45</v>
      </c>
      <c r="K1261" s="1"/>
      <c r="L1261" s="1"/>
    </row>
    <row r="1262" spans="1:12" s="4" customFormat="1" x14ac:dyDescent="0.2">
      <c r="A1262" s="65">
        <v>156</v>
      </c>
      <c r="B1262" s="1" t="s">
        <v>499</v>
      </c>
      <c r="C1262" s="2" t="s">
        <v>7</v>
      </c>
      <c r="D1262" s="1" t="s">
        <v>20</v>
      </c>
      <c r="E1262" s="2" t="s">
        <v>7</v>
      </c>
      <c r="F1262" s="1" t="s">
        <v>35</v>
      </c>
      <c r="G1262" s="70">
        <v>0.1</v>
      </c>
      <c r="H1262" s="67">
        <v>1.54E-2</v>
      </c>
      <c r="I1262" s="103">
        <v>1.26</v>
      </c>
      <c r="K1262" s="1"/>
      <c r="L1262" s="1"/>
    </row>
    <row r="1263" spans="1:12" s="4" customFormat="1" x14ac:dyDescent="0.2">
      <c r="A1263" s="65">
        <v>156</v>
      </c>
      <c r="B1263" s="1" t="s">
        <v>499</v>
      </c>
      <c r="C1263" s="2" t="s">
        <v>7</v>
      </c>
      <c r="D1263" s="1" t="s">
        <v>20</v>
      </c>
      <c r="E1263" s="2" t="s">
        <v>7</v>
      </c>
      <c r="F1263" s="1" t="s">
        <v>35</v>
      </c>
      <c r="G1263" s="70">
        <v>1</v>
      </c>
      <c r="H1263" s="67">
        <v>8.8000000000000005E-3</v>
      </c>
      <c r="I1263" s="103">
        <v>0.88</v>
      </c>
      <c r="K1263" s="1"/>
      <c r="L1263" s="1"/>
    </row>
    <row r="1264" spans="1:12" s="4" customFormat="1" x14ac:dyDescent="0.2">
      <c r="A1264" s="65">
        <v>156</v>
      </c>
      <c r="B1264" s="1" t="s">
        <v>499</v>
      </c>
      <c r="C1264" s="2" t="s">
        <v>7</v>
      </c>
      <c r="D1264" s="1" t="s">
        <v>20</v>
      </c>
      <c r="E1264" s="2" t="s">
        <v>7</v>
      </c>
      <c r="F1264" s="1" t="s">
        <v>35</v>
      </c>
      <c r="G1264" s="70">
        <v>10</v>
      </c>
      <c r="H1264" s="67">
        <v>3.7000000000000002E-3</v>
      </c>
      <c r="I1264" s="103">
        <v>0.3</v>
      </c>
      <c r="K1264" s="1"/>
      <c r="L1264" s="1"/>
    </row>
    <row r="1265" spans="1:12" s="4" customFormat="1" x14ac:dyDescent="0.2">
      <c r="A1265" s="65">
        <v>156</v>
      </c>
      <c r="B1265" s="66" t="s">
        <v>506</v>
      </c>
      <c r="C1265" s="2" t="s">
        <v>7</v>
      </c>
      <c r="D1265" s="1" t="s">
        <v>20</v>
      </c>
      <c r="E1265" s="2" t="s">
        <v>7</v>
      </c>
      <c r="F1265" s="1" t="s">
        <v>35</v>
      </c>
      <c r="G1265" s="91">
        <v>0</v>
      </c>
      <c r="H1265" s="67">
        <v>1.2200000000000001E-2</v>
      </c>
      <c r="I1265" s="103">
        <v>1</v>
      </c>
      <c r="K1265" s="1"/>
      <c r="L1265" s="1"/>
    </row>
    <row r="1266" spans="1:12" s="4" customFormat="1" x14ac:dyDescent="0.2">
      <c r="A1266" s="65">
        <v>156</v>
      </c>
      <c r="B1266" s="66" t="s">
        <v>506</v>
      </c>
      <c r="C1266" s="2" t="s">
        <v>7</v>
      </c>
      <c r="D1266" s="1" t="s">
        <v>20</v>
      </c>
      <c r="E1266" s="2" t="s">
        <v>7</v>
      </c>
      <c r="F1266" s="1" t="s">
        <v>35</v>
      </c>
      <c r="G1266" s="91">
        <v>1E-3</v>
      </c>
      <c r="H1266" s="67">
        <v>1.3599999999999999E-2</v>
      </c>
      <c r="I1266" s="103">
        <v>1.1200000000000001</v>
      </c>
      <c r="K1266" s="1"/>
      <c r="L1266" s="1"/>
    </row>
    <row r="1267" spans="1:12" x14ac:dyDescent="0.2">
      <c r="A1267" s="65">
        <v>156</v>
      </c>
      <c r="B1267" s="66" t="s">
        <v>506</v>
      </c>
      <c r="C1267" s="2" t="s">
        <v>7</v>
      </c>
      <c r="D1267" s="1" t="s">
        <v>20</v>
      </c>
      <c r="E1267" s="2" t="s">
        <v>7</v>
      </c>
      <c r="F1267" s="1" t="s">
        <v>35</v>
      </c>
      <c r="G1267" s="91">
        <v>0.01</v>
      </c>
      <c r="H1267" s="67">
        <v>1.72E-2</v>
      </c>
      <c r="I1267" s="103">
        <v>1.41</v>
      </c>
    </row>
    <row r="1268" spans="1:12" x14ac:dyDescent="0.2">
      <c r="A1268" s="65">
        <v>156</v>
      </c>
      <c r="B1268" s="66" t="s">
        <v>506</v>
      </c>
      <c r="C1268" s="2" t="s">
        <v>7</v>
      </c>
      <c r="D1268" s="1" t="s">
        <v>20</v>
      </c>
      <c r="E1268" s="2" t="s">
        <v>7</v>
      </c>
      <c r="F1268" s="1" t="s">
        <v>35</v>
      </c>
      <c r="G1268" s="91">
        <v>0.1</v>
      </c>
      <c r="H1268" s="67">
        <v>2.1100000000000001E-2</v>
      </c>
      <c r="I1268" s="103">
        <v>1.73</v>
      </c>
    </row>
    <row r="1269" spans="1:12" x14ac:dyDescent="0.2">
      <c r="A1269" s="65">
        <v>156</v>
      </c>
      <c r="B1269" s="66" t="s">
        <v>506</v>
      </c>
      <c r="C1269" s="2" t="s">
        <v>7</v>
      </c>
      <c r="D1269" s="1" t="s">
        <v>20</v>
      </c>
      <c r="E1269" s="2" t="s">
        <v>7</v>
      </c>
      <c r="F1269" s="1" t="s">
        <v>35</v>
      </c>
      <c r="G1269" s="91">
        <v>1</v>
      </c>
      <c r="H1269" s="67">
        <v>2.2800000000000001E-2</v>
      </c>
      <c r="I1269" s="103">
        <v>1.88</v>
      </c>
    </row>
    <row r="1270" spans="1:12" x14ac:dyDescent="0.2">
      <c r="A1270" s="65">
        <v>156</v>
      </c>
      <c r="B1270" s="66" t="s">
        <v>506</v>
      </c>
      <c r="C1270" s="2" t="s">
        <v>7</v>
      </c>
      <c r="D1270" s="1" t="s">
        <v>20</v>
      </c>
      <c r="E1270" s="2" t="s">
        <v>7</v>
      </c>
      <c r="F1270" s="1" t="s">
        <v>35</v>
      </c>
      <c r="G1270" s="91">
        <v>10</v>
      </c>
      <c r="H1270" s="67">
        <v>6.8999999999999999E-3</v>
      </c>
      <c r="I1270" s="103">
        <v>0.56999999999999995</v>
      </c>
    </row>
    <row r="1271" spans="1:12" x14ac:dyDescent="0.2">
      <c r="A1271" s="65">
        <v>156</v>
      </c>
      <c r="B1271" s="66" t="s">
        <v>473</v>
      </c>
      <c r="C1271" s="2" t="s">
        <v>7</v>
      </c>
      <c r="D1271" s="1" t="s">
        <v>20</v>
      </c>
      <c r="E1271" s="2" t="s">
        <v>7</v>
      </c>
      <c r="F1271" s="1" t="s">
        <v>35</v>
      </c>
      <c r="G1271" s="91">
        <v>0</v>
      </c>
      <c r="H1271" s="67">
        <v>1.2200000000000001E-2</v>
      </c>
      <c r="I1271" s="103">
        <v>1</v>
      </c>
    </row>
    <row r="1272" spans="1:12" x14ac:dyDescent="0.2">
      <c r="A1272" s="65">
        <v>156</v>
      </c>
      <c r="B1272" s="66" t="s">
        <v>473</v>
      </c>
      <c r="C1272" s="2" t="s">
        <v>7</v>
      </c>
      <c r="D1272" s="1" t="s">
        <v>20</v>
      </c>
      <c r="E1272" s="2" t="s">
        <v>7</v>
      </c>
      <c r="F1272" s="1" t="s">
        <v>35</v>
      </c>
      <c r="G1272" s="91">
        <v>1E-3</v>
      </c>
      <c r="H1272" s="67">
        <v>4.0000000000000001E-3</v>
      </c>
      <c r="I1272" s="103">
        <v>1.3</v>
      </c>
    </row>
    <row r="1273" spans="1:12" x14ac:dyDescent="0.2">
      <c r="A1273" s="65">
        <v>156</v>
      </c>
      <c r="B1273" s="66" t="s">
        <v>473</v>
      </c>
      <c r="C1273" s="2" t="s">
        <v>7</v>
      </c>
      <c r="D1273" s="1" t="s">
        <v>20</v>
      </c>
      <c r="E1273" s="2" t="s">
        <v>7</v>
      </c>
      <c r="F1273" s="1" t="s">
        <v>35</v>
      </c>
      <c r="G1273" s="91">
        <v>0.01</v>
      </c>
      <c r="H1273" s="67">
        <v>3.5000000000000001E-3</v>
      </c>
      <c r="I1273" s="103">
        <v>1.1399999999999999</v>
      </c>
    </row>
    <row r="1274" spans="1:12" x14ac:dyDescent="0.2">
      <c r="A1274" s="65">
        <v>156</v>
      </c>
      <c r="B1274" s="66" t="s">
        <v>473</v>
      </c>
      <c r="C1274" s="2" t="s">
        <v>7</v>
      </c>
      <c r="D1274" s="1" t="s">
        <v>20</v>
      </c>
      <c r="E1274" s="2" t="s">
        <v>7</v>
      </c>
      <c r="F1274" s="1" t="s">
        <v>35</v>
      </c>
      <c r="G1274" s="91">
        <v>0.1</v>
      </c>
      <c r="H1274" s="67">
        <v>3.2000000000000002E-3</v>
      </c>
      <c r="I1274" s="103">
        <v>1.04</v>
      </c>
    </row>
    <row r="1275" spans="1:12" x14ac:dyDescent="0.2">
      <c r="A1275" s="65">
        <v>156</v>
      </c>
      <c r="B1275" s="66" t="s">
        <v>473</v>
      </c>
      <c r="C1275" s="2" t="s">
        <v>7</v>
      </c>
      <c r="D1275" s="1" t="s">
        <v>20</v>
      </c>
      <c r="E1275" s="2" t="s">
        <v>7</v>
      </c>
      <c r="F1275" s="1" t="s">
        <v>35</v>
      </c>
      <c r="G1275" s="91">
        <v>1</v>
      </c>
      <c r="H1275" s="67">
        <v>2.5999999999999999E-3</v>
      </c>
      <c r="I1275" s="103">
        <v>0.84</v>
      </c>
    </row>
    <row r="1276" spans="1:12" x14ac:dyDescent="0.2">
      <c r="A1276" s="65">
        <v>156</v>
      </c>
      <c r="B1276" s="66" t="s">
        <v>473</v>
      </c>
      <c r="C1276" s="2" t="s">
        <v>7</v>
      </c>
      <c r="D1276" s="1" t="s">
        <v>20</v>
      </c>
      <c r="E1276" s="2" t="s">
        <v>7</v>
      </c>
      <c r="F1276" s="1" t="s">
        <v>35</v>
      </c>
      <c r="G1276" s="91">
        <v>10</v>
      </c>
      <c r="H1276" s="67">
        <v>8.9999999999999998E-4</v>
      </c>
      <c r="I1276" s="103">
        <v>0.28999999999999998</v>
      </c>
    </row>
    <row r="1277" spans="1:12" x14ac:dyDescent="0.2">
      <c r="A1277" s="65">
        <v>156</v>
      </c>
      <c r="B1277" s="66" t="s">
        <v>480</v>
      </c>
      <c r="C1277" s="2" t="s">
        <v>7</v>
      </c>
      <c r="D1277" s="1" t="s">
        <v>20</v>
      </c>
      <c r="E1277" s="2" t="s">
        <v>7</v>
      </c>
      <c r="F1277" s="1" t="s">
        <v>35</v>
      </c>
      <c r="G1277" s="91">
        <v>0</v>
      </c>
      <c r="H1277" s="67">
        <v>8.5000000000000006E-3</v>
      </c>
      <c r="I1277" s="103">
        <v>1</v>
      </c>
      <c r="J1277" s="1"/>
    </row>
    <row r="1278" spans="1:12" x14ac:dyDescent="0.2">
      <c r="A1278" s="65">
        <v>156</v>
      </c>
      <c r="B1278" s="66" t="s">
        <v>480</v>
      </c>
      <c r="C1278" s="2" t="s">
        <v>7</v>
      </c>
      <c r="D1278" s="1" t="s">
        <v>20</v>
      </c>
      <c r="E1278" s="2" t="s">
        <v>7</v>
      </c>
      <c r="F1278" s="1" t="s">
        <v>35</v>
      </c>
      <c r="G1278" s="91">
        <v>1E-3</v>
      </c>
      <c r="H1278" s="67">
        <v>5.7999999999999996E-3</v>
      </c>
      <c r="I1278" s="103">
        <v>0.69</v>
      </c>
      <c r="J1278" s="1"/>
    </row>
    <row r="1279" spans="1:12" x14ac:dyDescent="0.2">
      <c r="A1279" s="65">
        <v>156</v>
      </c>
      <c r="B1279" s="66" t="s">
        <v>480</v>
      </c>
      <c r="C1279" s="2" t="s">
        <v>7</v>
      </c>
      <c r="D1279" s="1" t="s">
        <v>20</v>
      </c>
      <c r="E1279" s="2" t="s">
        <v>7</v>
      </c>
      <c r="F1279" s="1" t="s">
        <v>35</v>
      </c>
      <c r="G1279" s="91">
        <v>0.01</v>
      </c>
      <c r="H1279" s="67">
        <v>6.1999999999999998E-3</v>
      </c>
      <c r="I1279" s="103">
        <v>0.73</v>
      </c>
      <c r="J1279" s="1"/>
    </row>
    <row r="1280" spans="1:12" x14ac:dyDescent="0.2">
      <c r="A1280" s="65">
        <v>156</v>
      </c>
      <c r="B1280" s="66" t="s">
        <v>480</v>
      </c>
      <c r="C1280" s="2" t="s">
        <v>7</v>
      </c>
      <c r="D1280" s="1" t="s">
        <v>20</v>
      </c>
      <c r="E1280" s="2" t="s">
        <v>7</v>
      </c>
      <c r="F1280" s="1" t="s">
        <v>35</v>
      </c>
      <c r="G1280" s="91">
        <v>0.1</v>
      </c>
      <c r="H1280" s="67">
        <v>7.1000000000000004E-3</v>
      </c>
      <c r="I1280" s="103">
        <v>0.84</v>
      </c>
      <c r="J1280" s="1"/>
    </row>
    <row r="1281" spans="1:10" x14ac:dyDescent="0.2">
      <c r="A1281" s="65">
        <v>156</v>
      </c>
      <c r="B1281" s="66" t="s">
        <v>480</v>
      </c>
      <c r="C1281" s="2" t="s">
        <v>7</v>
      </c>
      <c r="D1281" s="1" t="s">
        <v>20</v>
      </c>
      <c r="E1281" s="2" t="s">
        <v>7</v>
      </c>
      <c r="F1281" s="1" t="s">
        <v>35</v>
      </c>
      <c r="G1281" s="91">
        <v>1</v>
      </c>
      <c r="H1281" s="67">
        <v>4.8999999999999998E-3</v>
      </c>
      <c r="I1281" s="103">
        <v>0.56999999999999995</v>
      </c>
      <c r="J1281" s="1"/>
    </row>
    <row r="1282" spans="1:10" x14ac:dyDescent="0.2">
      <c r="A1282" s="65">
        <v>156</v>
      </c>
      <c r="B1282" s="66" t="s">
        <v>480</v>
      </c>
      <c r="C1282" s="2" t="s">
        <v>7</v>
      </c>
      <c r="D1282" s="1" t="s">
        <v>20</v>
      </c>
      <c r="E1282" s="2" t="s">
        <v>7</v>
      </c>
      <c r="F1282" s="1" t="s">
        <v>35</v>
      </c>
      <c r="G1282" s="91">
        <v>10</v>
      </c>
      <c r="H1282" s="67">
        <v>4.0000000000000001E-3</v>
      </c>
      <c r="I1282" s="103">
        <v>0.47</v>
      </c>
      <c r="J1282" s="1"/>
    </row>
    <row r="1283" spans="1:10" x14ac:dyDescent="0.2">
      <c r="A1283" s="65">
        <v>156</v>
      </c>
      <c r="B1283" s="66" t="s">
        <v>474</v>
      </c>
      <c r="C1283" s="2" t="s">
        <v>7</v>
      </c>
      <c r="D1283" s="1" t="s">
        <v>20</v>
      </c>
      <c r="E1283" s="2" t="s">
        <v>7</v>
      </c>
      <c r="F1283" s="1" t="s">
        <v>35</v>
      </c>
      <c r="G1283" s="91">
        <v>0</v>
      </c>
      <c r="H1283" s="67">
        <v>2.8199999999999999E-2</v>
      </c>
      <c r="I1283" s="103">
        <v>1</v>
      </c>
    </row>
    <row r="1284" spans="1:10" x14ac:dyDescent="0.2">
      <c r="A1284" s="65">
        <v>156</v>
      </c>
      <c r="B1284" s="66" t="s">
        <v>474</v>
      </c>
      <c r="C1284" s="2" t="s">
        <v>7</v>
      </c>
      <c r="D1284" s="1" t="s">
        <v>20</v>
      </c>
      <c r="E1284" s="2" t="s">
        <v>7</v>
      </c>
      <c r="F1284" s="1" t="s">
        <v>35</v>
      </c>
      <c r="G1284" s="91">
        <v>1E-3</v>
      </c>
      <c r="H1284" s="67">
        <v>1.5599999999999999E-2</v>
      </c>
      <c r="I1284" s="103">
        <v>0.56000000000000005</v>
      </c>
    </row>
    <row r="1285" spans="1:10" x14ac:dyDescent="0.2">
      <c r="A1285" s="65">
        <v>156</v>
      </c>
      <c r="B1285" s="66" t="s">
        <v>474</v>
      </c>
      <c r="C1285" s="2" t="s">
        <v>7</v>
      </c>
      <c r="D1285" s="1" t="s">
        <v>20</v>
      </c>
      <c r="E1285" s="2" t="s">
        <v>7</v>
      </c>
      <c r="F1285" s="1" t="s">
        <v>35</v>
      </c>
      <c r="G1285" s="91">
        <v>0.01</v>
      </c>
      <c r="H1285" s="67">
        <v>2.4299999999999999E-2</v>
      </c>
      <c r="I1285" s="103">
        <v>0.86</v>
      </c>
    </row>
    <row r="1286" spans="1:10" x14ac:dyDescent="0.2">
      <c r="A1286" s="65">
        <v>156</v>
      </c>
      <c r="B1286" s="66" t="s">
        <v>474</v>
      </c>
      <c r="C1286" s="2" t="s">
        <v>7</v>
      </c>
      <c r="D1286" s="1" t="s">
        <v>20</v>
      </c>
      <c r="E1286" s="2" t="s">
        <v>7</v>
      </c>
      <c r="F1286" s="1" t="s">
        <v>35</v>
      </c>
      <c r="G1286" s="91">
        <v>0.1</v>
      </c>
      <c r="H1286" s="67">
        <v>1.5900000000000001E-2</v>
      </c>
      <c r="I1286" s="103">
        <v>0.56999999999999995</v>
      </c>
    </row>
    <row r="1287" spans="1:10" x14ac:dyDescent="0.2">
      <c r="A1287" s="65">
        <v>156</v>
      </c>
      <c r="B1287" s="66" t="s">
        <v>474</v>
      </c>
      <c r="C1287" s="2" t="s">
        <v>7</v>
      </c>
      <c r="D1287" s="1" t="s">
        <v>20</v>
      </c>
      <c r="E1287" s="2" t="s">
        <v>7</v>
      </c>
      <c r="F1287" s="1" t="s">
        <v>35</v>
      </c>
      <c r="G1287" s="91">
        <v>1</v>
      </c>
      <c r="H1287" s="67">
        <v>1.8100000000000002E-2</v>
      </c>
      <c r="I1287" s="103">
        <v>0.64</v>
      </c>
    </row>
    <row r="1288" spans="1:10" x14ac:dyDescent="0.2">
      <c r="A1288" s="65">
        <v>156</v>
      </c>
      <c r="B1288" s="66" t="s">
        <v>474</v>
      </c>
      <c r="C1288" s="2" t="s">
        <v>7</v>
      </c>
      <c r="D1288" s="1" t="s">
        <v>20</v>
      </c>
      <c r="E1288" s="2" t="s">
        <v>7</v>
      </c>
      <c r="F1288" s="1" t="s">
        <v>35</v>
      </c>
      <c r="G1288" s="91">
        <v>10</v>
      </c>
      <c r="H1288" s="67">
        <v>1.21E-2</v>
      </c>
      <c r="I1288" s="103">
        <v>0.43</v>
      </c>
    </row>
    <row r="1289" spans="1:10" x14ac:dyDescent="0.2">
      <c r="A1289" s="65">
        <v>156</v>
      </c>
      <c r="B1289" s="66" t="s">
        <v>475</v>
      </c>
      <c r="C1289" s="2" t="s">
        <v>7</v>
      </c>
      <c r="D1289" s="1" t="s">
        <v>20</v>
      </c>
      <c r="E1289" s="2" t="s">
        <v>7</v>
      </c>
      <c r="F1289" s="1" t="s">
        <v>35</v>
      </c>
      <c r="G1289" s="91">
        <v>0</v>
      </c>
      <c r="H1289" s="67">
        <v>1.9E-2</v>
      </c>
      <c r="I1289" s="103">
        <v>1</v>
      </c>
    </row>
    <row r="1290" spans="1:10" x14ac:dyDescent="0.2">
      <c r="A1290" s="65">
        <v>156</v>
      </c>
      <c r="B1290" s="66" t="s">
        <v>475</v>
      </c>
      <c r="C1290" s="2" t="s">
        <v>7</v>
      </c>
      <c r="D1290" s="1" t="s">
        <v>20</v>
      </c>
      <c r="E1290" s="2" t="s">
        <v>7</v>
      </c>
      <c r="F1290" s="1" t="s">
        <v>35</v>
      </c>
      <c r="G1290" s="91">
        <v>1E-3</v>
      </c>
      <c r="H1290" s="67">
        <v>1.52E-2</v>
      </c>
      <c r="I1290" s="103">
        <v>0.8</v>
      </c>
    </row>
    <row r="1291" spans="1:10" x14ac:dyDescent="0.2">
      <c r="A1291" s="65">
        <v>156</v>
      </c>
      <c r="B1291" s="66" t="s">
        <v>475</v>
      </c>
      <c r="C1291" s="2" t="s">
        <v>7</v>
      </c>
      <c r="D1291" s="1" t="s">
        <v>20</v>
      </c>
      <c r="E1291" s="2" t="s">
        <v>7</v>
      </c>
      <c r="F1291" s="1" t="s">
        <v>35</v>
      </c>
      <c r="G1291" s="91">
        <v>0.01</v>
      </c>
      <c r="H1291" s="67">
        <v>1.6E-2</v>
      </c>
      <c r="I1291" s="103">
        <v>0.84</v>
      </c>
    </row>
    <row r="1292" spans="1:10" x14ac:dyDescent="0.2">
      <c r="A1292" s="65">
        <v>156</v>
      </c>
      <c r="B1292" s="66" t="s">
        <v>475</v>
      </c>
      <c r="C1292" s="2" t="s">
        <v>7</v>
      </c>
      <c r="D1292" s="1" t="s">
        <v>20</v>
      </c>
      <c r="E1292" s="2" t="s">
        <v>7</v>
      </c>
      <c r="F1292" s="1" t="s">
        <v>35</v>
      </c>
      <c r="G1292" s="91">
        <v>0.1</v>
      </c>
      <c r="H1292" s="67">
        <v>1.7899999999999999E-2</v>
      </c>
      <c r="I1292" s="103">
        <v>0.94</v>
      </c>
    </row>
    <row r="1293" spans="1:10" x14ac:dyDescent="0.2">
      <c r="A1293" s="65">
        <v>156</v>
      </c>
      <c r="B1293" s="66" t="s">
        <v>475</v>
      </c>
      <c r="C1293" s="2" t="s">
        <v>7</v>
      </c>
      <c r="D1293" s="1" t="s">
        <v>20</v>
      </c>
      <c r="E1293" s="2" t="s">
        <v>7</v>
      </c>
      <c r="F1293" s="1" t="s">
        <v>35</v>
      </c>
      <c r="G1293" s="91">
        <v>1</v>
      </c>
      <c r="H1293" s="67">
        <v>1.6400000000000001E-2</v>
      </c>
      <c r="I1293" s="103">
        <v>0.86</v>
      </c>
    </row>
    <row r="1294" spans="1:10" x14ac:dyDescent="0.2">
      <c r="A1294" s="65">
        <v>156</v>
      </c>
      <c r="B1294" s="66" t="s">
        <v>475</v>
      </c>
      <c r="C1294" s="2" t="s">
        <v>7</v>
      </c>
      <c r="D1294" s="1" t="s">
        <v>20</v>
      </c>
      <c r="E1294" s="2" t="s">
        <v>7</v>
      </c>
      <c r="F1294" s="1" t="s">
        <v>35</v>
      </c>
      <c r="G1294" s="91">
        <v>10</v>
      </c>
      <c r="H1294" s="67">
        <v>1.2E-2</v>
      </c>
      <c r="I1294" s="103">
        <v>0.63</v>
      </c>
    </row>
    <row r="1295" spans="1:10" x14ac:dyDescent="0.2">
      <c r="A1295" s="65">
        <v>156</v>
      </c>
      <c r="B1295" s="66" t="s">
        <v>476</v>
      </c>
      <c r="C1295" s="2" t="s">
        <v>7</v>
      </c>
      <c r="D1295" s="1" t="s">
        <v>20</v>
      </c>
      <c r="E1295" s="2" t="s">
        <v>7</v>
      </c>
      <c r="F1295" s="1" t="s">
        <v>35</v>
      </c>
      <c r="G1295" s="91">
        <v>0</v>
      </c>
      <c r="H1295" s="67">
        <v>5.4999999999999997E-3</v>
      </c>
      <c r="I1295" s="103">
        <v>1</v>
      </c>
      <c r="J1295" s="72"/>
    </row>
    <row r="1296" spans="1:10" x14ac:dyDescent="0.2">
      <c r="A1296" s="65">
        <v>156</v>
      </c>
      <c r="B1296" s="66" t="s">
        <v>476</v>
      </c>
      <c r="C1296" s="2" t="s">
        <v>7</v>
      </c>
      <c r="D1296" s="1" t="s">
        <v>20</v>
      </c>
      <c r="E1296" s="2" t="s">
        <v>7</v>
      </c>
      <c r="F1296" s="1" t="s">
        <v>35</v>
      </c>
      <c r="G1296" s="91">
        <v>1E-3</v>
      </c>
      <c r="H1296" s="67">
        <v>4.0000000000000001E-3</v>
      </c>
      <c r="I1296" s="103">
        <v>0.72</v>
      </c>
      <c r="J1296" s="72"/>
    </row>
    <row r="1297" spans="1:10" x14ac:dyDescent="0.2">
      <c r="A1297" s="65">
        <v>156</v>
      </c>
      <c r="B1297" s="66" t="s">
        <v>476</v>
      </c>
      <c r="C1297" s="2" t="s">
        <v>7</v>
      </c>
      <c r="D1297" s="1" t="s">
        <v>20</v>
      </c>
      <c r="E1297" s="2" t="s">
        <v>7</v>
      </c>
      <c r="F1297" s="1" t="s">
        <v>35</v>
      </c>
      <c r="G1297" s="91">
        <v>0.01</v>
      </c>
      <c r="H1297" s="67">
        <v>4.1999999999999997E-3</v>
      </c>
      <c r="I1297" s="103">
        <v>0.76</v>
      </c>
      <c r="J1297" s="72"/>
    </row>
    <row r="1298" spans="1:10" x14ac:dyDescent="0.2">
      <c r="A1298" s="65">
        <v>156</v>
      </c>
      <c r="B1298" s="66" t="s">
        <v>476</v>
      </c>
      <c r="C1298" s="2" t="s">
        <v>7</v>
      </c>
      <c r="D1298" s="1" t="s">
        <v>20</v>
      </c>
      <c r="E1298" s="2" t="s">
        <v>7</v>
      </c>
      <c r="F1298" s="1" t="s">
        <v>35</v>
      </c>
      <c r="G1298" s="91">
        <v>0.1</v>
      </c>
      <c r="H1298" s="67">
        <v>4.1000000000000003E-3</v>
      </c>
      <c r="I1298" s="103">
        <v>0.7</v>
      </c>
      <c r="J1298" s="72"/>
    </row>
    <row r="1299" spans="1:10" x14ac:dyDescent="0.2">
      <c r="A1299" s="65">
        <v>156</v>
      </c>
      <c r="B1299" s="66" t="s">
        <v>476</v>
      </c>
      <c r="C1299" s="2" t="s">
        <v>7</v>
      </c>
      <c r="D1299" s="1" t="s">
        <v>20</v>
      </c>
      <c r="E1299" s="2" t="s">
        <v>7</v>
      </c>
      <c r="F1299" s="1" t="s">
        <v>35</v>
      </c>
      <c r="G1299" s="91">
        <v>1</v>
      </c>
      <c r="H1299" s="67">
        <v>3.0999999999999999E-3</v>
      </c>
      <c r="I1299" s="103">
        <v>0.55000000000000004</v>
      </c>
      <c r="J1299" s="72"/>
    </row>
    <row r="1300" spans="1:10" x14ac:dyDescent="0.2">
      <c r="A1300" s="65">
        <v>156</v>
      </c>
      <c r="B1300" s="66" t="s">
        <v>476</v>
      </c>
      <c r="C1300" s="2" t="s">
        <v>7</v>
      </c>
      <c r="D1300" s="1" t="s">
        <v>20</v>
      </c>
      <c r="E1300" s="2" t="s">
        <v>7</v>
      </c>
      <c r="F1300" s="1" t="s">
        <v>35</v>
      </c>
      <c r="G1300" s="91">
        <v>10</v>
      </c>
      <c r="H1300" s="67">
        <v>5.0000000000000001E-4</v>
      </c>
      <c r="I1300" s="103">
        <v>0.09</v>
      </c>
      <c r="J1300" s="72"/>
    </row>
    <row r="1301" spans="1:10" x14ac:dyDescent="0.2">
      <c r="A1301" s="65">
        <v>156</v>
      </c>
      <c r="B1301" s="1" t="s">
        <v>511</v>
      </c>
      <c r="C1301" s="2" t="s">
        <v>7</v>
      </c>
      <c r="D1301" s="1" t="s">
        <v>20</v>
      </c>
      <c r="E1301" s="2" t="s">
        <v>7</v>
      </c>
      <c r="F1301" s="1" t="s">
        <v>35</v>
      </c>
      <c r="G1301" s="91">
        <v>0</v>
      </c>
      <c r="H1301" s="67">
        <v>3.0999999999999999E-3</v>
      </c>
      <c r="I1301" s="103">
        <v>1</v>
      </c>
    </row>
    <row r="1302" spans="1:10" x14ac:dyDescent="0.2">
      <c r="A1302" s="65">
        <v>156</v>
      </c>
      <c r="B1302" s="1" t="s">
        <v>511</v>
      </c>
      <c r="C1302" s="2" t="s">
        <v>7</v>
      </c>
      <c r="D1302" s="1" t="s">
        <v>20</v>
      </c>
      <c r="E1302" s="2" t="s">
        <v>7</v>
      </c>
      <c r="F1302" s="1" t="s">
        <v>35</v>
      </c>
      <c r="G1302" s="91">
        <v>1E-3</v>
      </c>
      <c r="H1302" s="67">
        <v>4.4999999999999997E-3</v>
      </c>
      <c r="I1302" s="103">
        <v>1.34</v>
      </c>
    </row>
    <row r="1303" spans="1:10" x14ac:dyDescent="0.2">
      <c r="A1303" s="65">
        <v>156</v>
      </c>
      <c r="B1303" s="1" t="s">
        <v>511</v>
      </c>
      <c r="C1303" s="2" t="s">
        <v>7</v>
      </c>
      <c r="D1303" s="1" t="s">
        <v>20</v>
      </c>
      <c r="E1303" s="2" t="s">
        <v>7</v>
      </c>
      <c r="F1303" s="1" t="s">
        <v>35</v>
      </c>
      <c r="G1303" s="91">
        <v>0.01</v>
      </c>
      <c r="H1303" s="67">
        <v>4.7000000000000002E-3</v>
      </c>
      <c r="I1303" s="103">
        <v>1.4</v>
      </c>
    </row>
    <row r="1304" spans="1:10" x14ac:dyDescent="0.2">
      <c r="A1304" s="65">
        <v>156</v>
      </c>
      <c r="B1304" s="1" t="s">
        <v>511</v>
      </c>
      <c r="C1304" s="2" t="s">
        <v>7</v>
      </c>
      <c r="D1304" s="1" t="s">
        <v>20</v>
      </c>
      <c r="E1304" s="2" t="s">
        <v>7</v>
      </c>
      <c r="F1304" s="1" t="s">
        <v>35</v>
      </c>
      <c r="G1304" s="91">
        <v>0.1</v>
      </c>
      <c r="H1304" s="67">
        <v>7.0000000000000001E-3</v>
      </c>
      <c r="I1304" s="103">
        <v>2.08</v>
      </c>
    </row>
    <row r="1305" spans="1:10" x14ac:dyDescent="0.2">
      <c r="A1305" s="65">
        <v>156</v>
      </c>
      <c r="B1305" s="1" t="s">
        <v>511</v>
      </c>
      <c r="C1305" s="2" t="s">
        <v>7</v>
      </c>
      <c r="D1305" s="1" t="s">
        <v>20</v>
      </c>
      <c r="E1305" s="2" t="s">
        <v>7</v>
      </c>
      <c r="F1305" s="1" t="s">
        <v>35</v>
      </c>
      <c r="G1305" s="91">
        <v>1</v>
      </c>
      <c r="H1305" s="67">
        <v>4.7000000000000002E-3</v>
      </c>
      <c r="I1305" s="103">
        <v>1.42</v>
      </c>
    </row>
    <row r="1306" spans="1:10" x14ac:dyDescent="0.2">
      <c r="A1306" s="65">
        <v>156</v>
      </c>
      <c r="B1306" s="1" t="s">
        <v>510</v>
      </c>
      <c r="C1306" s="2" t="s">
        <v>7</v>
      </c>
      <c r="D1306" s="1" t="s">
        <v>20</v>
      </c>
      <c r="E1306" s="2" t="s">
        <v>7</v>
      </c>
      <c r="F1306" s="1" t="s">
        <v>35</v>
      </c>
      <c r="G1306" s="91">
        <v>0</v>
      </c>
      <c r="H1306" s="67">
        <v>1.9E-3</v>
      </c>
      <c r="I1306" s="103">
        <v>1</v>
      </c>
    </row>
    <row r="1307" spans="1:10" x14ac:dyDescent="0.2">
      <c r="A1307" s="65">
        <v>156</v>
      </c>
      <c r="B1307" s="1" t="s">
        <v>510</v>
      </c>
      <c r="C1307" s="2" t="s">
        <v>7</v>
      </c>
      <c r="D1307" s="1" t="s">
        <v>20</v>
      </c>
      <c r="E1307" s="2" t="s">
        <v>7</v>
      </c>
      <c r="F1307" s="1" t="s">
        <v>35</v>
      </c>
      <c r="G1307" s="91">
        <v>1E-3</v>
      </c>
      <c r="H1307" s="67">
        <v>2.0999999999999999E-3</v>
      </c>
      <c r="I1307" s="103">
        <v>1.1000000000000001</v>
      </c>
    </row>
    <row r="1308" spans="1:10" x14ac:dyDescent="0.2">
      <c r="A1308" s="65">
        <v>156</v>
      </c>
      <c r="B1308" s="1" t="s">
        <v>510</v>
      </c>
      <c r="C1308" s="2" t="s">
        <v>7</v>
      </c>
      <c r="D1308" s="1" t="s">
        <v>20</v>
      </c>
      <c r="E1308" s="2" t="s">
        <v>7</v>
      </c>
      <c r="F1308" s="1" t="s">
        <v>35</v>
      </c>
      <c r="G1308" s="91">
        <v>0.01</v>
      </c>
      <c r="H1308" s="67">
        <v>3.5000000000000001E-3</v>
      </c>
      <c r="I1308" s="103">
        <v>1.85</v>
      </c>
    </row>
    <row r="1309" spans="1:10" x14ac:dyDescent="0.2">
      <c r="A1309" s="65">
        <v>156</v>
      </c>
      <c r="B1309" s="1" t="s">
        <v>510</v>
      </c>
      <c r="C1309" s="2" t="s">
        <v>7</v>
      </c>
      <c r="D1309" s="1" t="s">
        <v>20</v>
      </c>
      <c r="E1309" s="2" t="s">
        <v>7</v>
      </c>
      <c r="F1309" s="1" t="s">
        <v>35</v>
      </c>
      <c r="G1309" s="91">
        <v>0.1</v>
      </c>
      <c r="H1309" s="67">
        <v>3.3999999999999998E-3</v>
      </c>
      <c r="I1309" s="103">
        <v>1.78</v>
      </c>
    </row>
    <row r="1310" spans="1:10" x14ac:dyDescent="0.2">
      <c r="A1310" s="65">
        <v>156</v>
      </c>
      <c r="B1310" s="1" t="s">
        <v>510</v>
      </c>
      <c r="C1310" s="2" t="s">
        <v>7</v>
      </c>
      <c r="D1310" s="1" t="s">
        <v>20</v>
      </c>
      <c r="E1310" s="2" t="s">
        <v>7</v>
      </c>
      <c r="F1310" s="1" t="s">
        <v>35</v>
      </c>
      <c r="G1310" s="91">
        <v>1</v>
      </c>
      <c r="H1310" s="67">
        <v>6.8999999999999999E-3</v>
      </c>
      <c r="I1310" s="103">
        <v>3.61</v>
      </c>
    </row>
    <row r="1311" spans="1:10" x14ac:dyDescent="0.2">
      <c r="A1311" s="65">
        <v>156</v>
      </c>
      <c r="B1311" s="66" t="s">
        <v>495</v>
      </c>
      <c r="C1311" s="2" t="s">
        <v>7</v>
      </c>
      <c r="D1311" s="1" t="s">
        <v>20</v>
      </c>
      <c r="E1311" s="2" t="s">
        <v>7</v>
      </c>
      <c r="F1311" s="1" t="s">
        <v>35</v>
      </c>
      <c r="G1311" s="91">
        <v>0</v>
      </c>
      <c r="H1311" s="67">
        <v>1.2200000000000001E-2</v>
      </c>
      <c r="I1311" s="103">
        <v>1</v>
      </c>
    </row>
    <row r="1312" spans="1:10" x14ac:dyDescent="0.2">
      <c r="A1312" s="65">
        <v>156</v>
      </c>
      <c r="B1312" s="66" t="s">
        <v>495</v>
      </c>
      <c r="C1312" s="2" t="s">
        <v>7</v>
      </c>
      <c r="D1312" s="1" t="s">
        <v>20</v>
      </c>
      <c r="E1312" s="2" t="s">
        <v>7</v>
      </c>
      <c r="F1312" s="1" t="s">
        <v>35</v>
      </c>
      <c r="G1312" s="91">
        <v>1E-3</v>
      </c>
      <c r="H1312" s="67">
        <v>1.23E-2</v>
      </c>
      <c r="I1312" s="103">
        <v>1.02</v>
      </c>
    </row>
    <row r="1313" spans="1:12" x14ac:dyDescent="0.2">
      <c r="A1313" s="65">
        <v>156</v>
      </c>
      <c r="B1313" s="66" t="s">
        <v>495</v>
      </c>
      <c r="C1313" s="2" t="s">
        <v>7</v>
      </c>
      <c r="D1313" s="1" t="s">
        <v>20</v>
      </c>
      <c r="E1313" s="2" t="s">
        <v>7</v>
      </c>
      <c r="F1313" s="1" t="s">
        <v>35</v>
      </c>
      <c r="G1313" s="91">
        <v>0.01</v>
      </c>
      <c r="H1313" s="67">
        <v>1.06E-2</v>
      </c>
      <c r="I1313" s="103">
        <v>0.87</v>
      </c>
    </row>
    <row r="1314" spans="1:12" x14ac:dyDescent="0.2">
      <c r="A1314" s="65">
        <v>156</v>
      </c>
      <c r="B1314" s="66" t="s">
        <v>495</v>
      </c>
      <c r="C1314" s="2" t="s">
        <v>7</v>
      </c>
      <c r="D1314" s="1" t="s">
        <v>20</v>
      </c>
      <c r="E1314" s="2" t="s">
        <v>7</v>
      </c>
      <c r="F1314" s="1" t="s">
        <v>35</v>
      </c>
      <c r="G1314" s="91">
        <v>0.1</v>
      </c>
      <c r="H1314" s="67">
        <v>1.2500000000000001E-2</v>
      </c>
      <c r="I1314" s="103">
        <v>1.03</v>
      </c>
    </row>
    <row r="1315" spans="1:12" s="4" customFormat="1" x14ac:dyDescent="0.2">
      <c r="A1315" s="65">
        <v>156</v>
      </c>
      <c r="B1315" s="66" t="s">
        <v>495</v>
      </c>
      <c r="C1315" s="2" t="s">
        <v>7</v>
      </c>
      <c r="D1315" s="1" t="s">
        <v>20</v>
      </c>
      <c r="E1315" s="2" t="s">
        <v>7</v>
      </c>
      <c r="F1315" s="1" t="s">
        <v>35</v>
      </c>
      <c r="G1315" s="91">
        <v>1</v>
      </c>
      <c r="H1315" s="67">
        <v>1.4800000000000001E-2</v>
      </c>
      <c r="I1315" s="103">
        <v>1.21</v>
      </c>
      <c r="K1315" s="1"/>
      <c r="L1315" s="1"/>
    </row>
    <row r="1316" spans="1:12" s="4" customFormat="1" x14ac:dyDescent="0.2">
      <c r="A1316" s="65">
        <v>156</v>
      </c>
      <c r="B1316" s="66" t="s">
        <v>496</v>
      </c>
      <c r="C1316" s="2" t="s">
        <v>7</v>
      </c>
      <c r="D1316" s="1" t="s">
        <v>20</v>
      </c>
      <c r="E1316" s="2" t="s">
        <v>7</v>
      </c>
      <c r="F1316" s="1" t="s">
        <v>35</v>
      </c>
      <c r="G1316" s="91">
        <v>0</v>
      </c>
      <c r="H1316" s="67">
        <v>9.1999999999999998E-3</v>
      </c>
      <c r="I1316" s="103">
        <v>1</v>
      </c>
      <c r="K1316" s="1"/>
      <c r="L1316" s="1"/>
    </row>
    <row r="1317" spans="1:12" s="4" customFormat="1" x14ac:dyDescent="0.2">
      <c r="A1317" s="65">
        <v>156</v>
      </c>
      <c r="B1317" s="66" t="s">
        <v>496</v>
      </c>
      <c r="C1317" s="2" t="s">
        <v>7</v>
      </c>
      <c r="D1317" s="1" t="s">
        <v>20</v>
      </c>
      <c r="E1317" s="2" t="s">
        <v>7</v>
      </c>
      <c r="F1317" s="1" t="s">
        <v>35</v>
      </c>
      <c r="G1317" s="91">
        <v>1E-3</v>
      </c>
      <c r="H1317" s="67">
        <v>7.3000000000000001E-3</v>
      </c>
      <c r="I1317" s="103">
        <v>0.51</v>
      </c>
      <c r="K1317" s="1"/>
      <c r="L1317" s="1"/>
    </row>
    <row r="1318" spans="1:12" s="4" customFormat="1" x14ac:dyDescent="0.2">
      <c r="A1318" s="65">
        <v>156</v>
      </c>
      <c r="B1318" s="66" t="s">
        <v>496</v>
      </c>
      <c r="C1318" s="2" t="s">
        <v>7</v>
      </c>
      <c r="D1318" s="1" t="s">
        <v>20</v>
      </c>
      <c r="E1318" s="2" t="s">
        <v>7</v>
      </c>
      <c r="F1318" s="1" t="s">
        <v>35</v>
      </c>
      <c r="G1318" s="91">
        <v>0.01</v>
      </c>
      <c r="H1318" s="67">
        <v>1.0999999999999999E-2</v>
      </c>
      <c r="I1318" s="103">
        <v>0.77</v>
      </c>
      <c r="K1318" s="1"/>
      <c r="L1318" s="1"/>
    </row>
    <row r="1319" spans="1:12" s="4" customFormat="1" x14ac:dyDescent="0.2">
      <c r="A1319" s="65">
        <v>156</v>
      </c>
      <c r="B1319" s="66" t="s">
        <v>496</v>
      </c>
      <c r="C1319" s="2" t="s">
        <v>7</v>
      </c>
      <c r="D1319" s="1" t="s">
        <v>20</v>
      </c>
      <c r="E1319" s="2" t="s">
        <v>7</v>
      </c>
      <c r="F1319" s="1" t="s">
        <v>35</v>
      </c>
      <c r="G1319" s="91">
        <v>0.1</v>
      </c>
      <c r="H1319" s="67">
        <v>1.7500000000000002E-2</v>
      </c>
      <c r="I1319" s="103">
        <v>1.22</v>
      </c>
      <c r="K1319" s="1"/>
      <c r="L1319" s="1"/>
    </row>
    <row r="1320" spans="1:12" s="4" customFormat="1" x14ac:dyDescent="0.2">
      <c r="A1320" s="65">
        <v>156</v>
      </c>
      <c r="B1320" s="66" t="s">
        <v>496</v>
      </c>
      <c r="C1320" s="2" t="s">
        <v>7</v>
      </c>
      <c r="D1320" s="1" t="s">
        <v>20</v>
      </c>
      <c r="E1320" s="2" t="s">
        <v>7</v>
      </c>
      <c r="F1320" s="1" t="s">
        <v>35</v>
      </c>
      <c r="G1320" s="91">
        <v>1</v>
      </c>
      <c r="H1320" s="67">
        <v>2.5499999999999998E-2</v>
      </c>
      <c r="I1320" s="103">
        <v>1.78</v>
      </c>
      <c r="K1320" s="1"/>
      <c r="L1320" s="1"/>
    </row>
    <row r="1321" spans="1:12" s="4" customFormat="1" x14ac:dyDescent="0.2">
      <c r="A1321" s="65">
        <v>156</v>
      </c>
      <c r="B1321" s="66" t="s">
        <v>477</v>
      </c>
      <c r="C1321" s="2" t="s">
        <v>7</v>
      </c>
      <c r="D1321" s="1" t="s">
        <v>20</v>
      </c>
      <c r="E1321" s="2" t="s">
        <v>7</v>
      </c>
      <c r="F1321" s="1" t="s">
        <v>35</v>
      </c>
      <c r="G1321" s="70">
        <v>0</v>
      </c>
      <c r="H1321" s="67">
        <v>1.03E-2</v>
      </c>
      <c r="I1321" s="103">
        <v>1</v>
      </c>
      <c r="K1321" s="1"/>
      <c r="L1321" s="1"/>
    </row>
    <row r="1322" spans="1:12" s="4" customFormat="1" x14ac:dyDescent="0.2">
      <c r="A1322" s="65">
        <v>156</v>
      </c>
      <c r="B1322" s="66" t="s">
        <v>477</v>
      </c>
      <c r="C1322" s="2" t="s">
        <v>7</v>
      </c>
      <c r="D1322" s="1" t="s">
        <v>20</v>
      </c>
      <c r="E1322" s="2" t="s">
        <v>7</v>
      </c>
      <c r="F1322" s="1" t="s">
        <v>35</v>
      </c>
      <c r="G1322" s="70">
        <v>7.89</v>
      </c>
      <c r="H1322" s="67">
        <v>1.8700000000000001E-2</v>
      </c>
      <c r="I1322" s="103">
        <v>1.76</v>
      </c>
      <c r="K1322" s="1"/>
      <c r="L1322" s="1"/>
    </row>
    <row r="1323" spans="1:12" s="4" customFormat="1" x14ac:dyDescent="0.2">
      <c r="A1323" s="65">
        <v>156</v>
      </c>
      <c r="B1323" s="66" t="s">
        <v>478</v>
      </c>
      <c r="C1323" s="2" t="s">
        <v>7</v>
      </c>
      <c r="D1323" s="1" t="s">
        <v>20</v>
      </c>
      <c r="E1323" s="2" t="s">
        <v>7</v>
      </c>
      <c r="F1323" s="1" t="s">
        <v>35</v>
      </c>
      <c r="G1323" s="70">
        <v>0</v>
      </c>
      <c r="H1323" s="67">
        <v>1.03E-2</v>
      </c>
      <c r="I1323" s="103">
        <v>1</v>
      </c>
      <c r="K1323" s="1"/>
      <c r="L1323" s="1"/>
    </row>
    <row r="1324" spans="1:12" s="4" customFormat="1" x14ac:dyDescent="0.2">
      <c r="A1324" s="65">
        <v>156</v>
      </c>
      <c r="B1324" s="66" t="s">
        <v>478</v>
      </c>
      <c r="C1324" s="2" t="s">
        <v>7</v>
      </c>
      <c r="D1324" s="1" t="s">
        <v>20</v>
      </c>
      <c r="E1324" s="2" t="s">
        <v>7</v>
      </c>
      <c r="F1324" s="1" t="s">
        <v>35</v>
      </c>
      <c r="G1324" s="70">
        <v>7.85</v>
      </c>
      <c r="H1324" s="67">
        <v>5.3E-3</v>
      </c>
      <c r="I1324" s="103">
        <v>0.5</v>
      </c>
      <c r="K1324" s="1"/>
      <c r="L1324" s="1"/>
    </row>
    <row r="1325" spans="1:12" s="4" customFormat="1" x14ac:dyDescent="0.2">
      <c r="A1325" s="65">
        <v>156</v>
      </c>
      <c r="B1325" s="1" t="s">
        <v>519</v>
      </c>
      <c r="C1325" s="2" t="s">
        <v>7</v>
      </c>
      <c r="D1325" s="1" t="s">
        <v>20</v>
      </c>
      <c r="E1325" s="2" t="s">
        <v>7</v>
      </c>
      <c r="F1325" s="1" t="s">
        <v>35</v>
      </c>
      <c r="G1325" s="91">
        <v>0</v>
      </c>
      <c r="H1325" s="67">
        <v>3.7000000000000002E-3</v>
      </c>
      <c r="I1325" s="103">
        <v>1</v>
      </c>
      <c r="K1325" s="1"/>
      <c r="L1325" s="1"/>
    </row>
    <row r="1326" spans="1:12" s="4" customFormat="1" x14ac:dyDescent="0.2">
      <c r="A1326" s="65">
        <v>156</v>
      </c>
      <c r="B1326" s="1" t="s">
        <v>519</v>
      </c>
      <c r="C1326" s="2" t="s">
        <v>7</v>
      </c>
      <c r="D1326" s="1" t="s">
        <v>20</v>
      </c>
      <c r="E1326" s="2" t="s">
        <v>7</v>
      </c>
      <c r="F1326" s="1" t="s">
        <v>35</v>
      </c>
      <c r="G1326" s="91">
        <v>1E-3</v>
      </c>
      <c r="H1326" s="67">
        <v>5.5999999999999999E-3</v>
      </c>
      <c r="I1326" s="103">
        <v>1.5</v>
      </c>
      <c r="K1326" s="1"/>
      <c r="L1326" s="1"/>
    </row>
    <row r="1327" spans="1:12" s="4" customFormat="1" x14ac:dyDescent="0.2">
      <c r="A1327" s="65">
        <v>156</v>
      </c>
      <c r="B1327" s="1" t="s">
        <v>519</v>
      </c>
      <c r="C1327" s="2" t="s">
        <v>7</v>
      </c>
      <c r="D1327" s="1" t="s">
        <v>20</v>
      </c>
      <c r="E1327" s="2" t="s">
        <v>7</v>
      </c>
      <c r="F1327" s="1" t="s">
        <v>35</v>
      </c>
      <c r="G1327" s="91">
        <v>0.01</v>
      </c>
      <c r="H1327" s="67">
        <v>2.8E-3</v>
      </c>
      <c r="I1327" s="103">
        <v>0.75</v>
      </c>
      <c r="K1327" s="1"/>
      <c r="L1327" s="1"/>
    </row>
    <row r="1328" spans="1:12" s="4" customFormat="1" x14ac:dyDescent="0.2">
      <c r="A1328" s="65">
        <v>156</v>
      </c>
      <c r="B1328" s="1" t="s">
        <v>519</v>
      </c>
      <c r="C1328" s="2" t="s">
        <v>7</v>
      </c>
      <c r="D1328" s="1" t="s">
        <v>20</v>
      </c>
      <c r="E1328" s="2" t="s">
        <v>7</v>
      </c>
      <c r="F1328" s="1" t="s">
        <v>35</v>
      </c>
      <c r="G1328" s="91">
        <v>0.1</v>
      </c>
      <c r="H1328" s="67">
        <v>2.0999999999999999E-3</v>
      </c>
      <c r="I1328" s="103">
        <v>0.57999999999999996</v>
      </c>
      <c r="K1328" s="1"/>
      <c r="L1328" s="1"/>
    </row>
    <row r="1329" spans="1:12" s="4" customFormat="1" x14ac:dyDescent="0.2">
      <c r="A1329" s="65">
        <v>156</v>
      </c>
      <c r="B1329" s="1" t="s">
        <v>519</v>
      </c>
      <c r="C1329" s="2" t="s">
        <v>7</v>
      </c>
      <c r="D1329" s="1" t="s">
        <v>20</v>
      </c>
      <c r="E1329" s="2" t="s">
        <v>7</v>
      </c>
      <c r="F1329" s="1" t="s">
        <v>35</v>
      </c>
      <c r="G1329" s="91">
        <v>1</v>
      </c>
      <c r="H1329" s="67">
        <v>2.5000000000000001E-3</v>
      </c>
      <c r="I1329" s="103">
        <v>0.66</v>
      </c>
      <c r="K1329" s="1"/>
      <c r="L1329" s="1"/>
    </row>
    <row r="1330" spans="1:12" s="4" customFormat="1" x14ac:dyDescent="0.2">
      <c r="A1330" s="65">
        <v>156</v>
      </c>
      <c r="B1330" s="1" t="s">
        <v>519</v>
      </c>
      <c r="C1330" s="2" t="s">
        <v>7</v>
      </c>
      <c r="D1330" s="1" t="s">
        <v>20</v>
      </c>
      <c r="E1330" s="2" t="s">
        <v>7</v>
      </c>
      <c r="F1330" s="1" t="s">
        <v>35</v>
      </c>
      <c r="G1330" s="91">
        <v>10</v>
      </c>
      <c r="H1330" s="67">
        <v>2.0999999999999999E-3</v>
      </c>
      <c r="I1330" s="103">
        <v>0.57999999999999996</v>
      </c>
      <c r="K1330" s="1"/>
      <c r="L1330" s="1"/>
    </row>
    <row r="1331" spans="1:12" s="4" customFormat="1" x14ac:dyDescent="0.2">
      <c r="A1331" s="65">
        <v>156</v>
      </c>
      <c r="B1331" s="1" t="s">
        <v>519</v>
      </c>
      <c r="C1331" s="2" t="s">
        <v>7</v>
      </c>
      <c r="D1331" s="1" t="s">
        <v>20</v>
      </c>
      <c r="E1331" s="2" t="s">
        <v>7</v>
      </c>
      <c r="F1331" s="1" t="s">
        <v>35</v>
      </c>
      <c r="G1331" s="91">
        <v>0</v>
      </c>
      <c r="H1331" s="67">
        <v>3.7000000000000002E-3</v>
      </c>
      <c r="I1331" s="103">
        <v>1</v>
      </c>
      <c r="K1331" s="1"/>
      <c r="L1331" s="1"/>
    </row>
    <row r="1332" spans="1:12" s="4" customFormat="1" x14ac:dyDescent="0.2">
      <c r="A1332" s="65">
        <v>156</v>
      </c>
      <c r="B1332" s="1" t="s">
        <v>519</v>
      </c>
      <c r="C1332" s="2" t="s">
        <v>7</v>
      </c>
      <c r="D1332" s="1" t="s">
        <v>20</v>
      </c>
      <c r="E1332" s="2" t="s">
        <v>7</v>
      </c>
      <c r="F1332" s="1" t="s">
        <v>35</v>
      </c>
      <c r="G1332" s="91">
        <v>1E-3</v>
      </c>
      <c r="H1332" s="67">
        <v>7.0000000000000001E-3</v>
      </c>
      <c r="I1332" s="103">
        <v>1.88</v>
      </c>
      <c r="K1332" s="1"/>
      <c r="L1332" s="1"/>
    </row>
    <row r="1333" spans="1:12" s="4" customFormat="1" x14ac:dyDescent="0.2">
      <c r="A1333" s="65">
        <v>156</v>
      </c>
      <c r="B1333" s="1" t="s">
        <v>519</v>
      </c>
      <c r="C1333" s="2" t="s">
        <v>7</v>
      </c>
      <c r="D1333" s="1" t="s">
        <v>20</v>
      </c>
      <c r="E1333" s="2" t="s">
        <v>7</v>
      </c>
      <c r="F1333" s="1" t="s">
        <v>35</v>
      </c>
      <c r="G1333" s="91">
        <v>0.01</v>
      </c>
      <c r="H1333" s="67">
        <v>3.7000000000000002E-3</v>
      </c>
      <c r="I1333" s="103">
        <v>1.01</v>
      </c>
      <c r="K1333" s="1"/>
      <c r="L1333" s="1"/>
    </row>
    <row r="1334" spans="1:12" s="4" customFormat="1" x14ac:dyDescent="0.2">
      <c r="A1334" s="65">
        <v>156</v>
      </c>
      <c r="B1334" s="1" t="s">
        <v>519</v>
      </c>
      <c r="C1334" s="2" t="s">
        <v>7</v>
      </c>
      <c r="D1334" s="1" t="s">
        <v>20</v>
      </c>
      <c r="E1334" s="2" t="s">
        <v>7</v>
      </c>
      <c r="F1334" s="1" t="s">
        <v>35</v>
      </c>
      <c r="G1334" s="91">
        <v>0.1</v>
      </c>
      <c r="H1334" s="67">
        <v>1.6000000000000001E-3</v>
      </c>
      <c r="I1334" s="103">
        <v>0.42</v>
      </c>
      <c r="K1334" s="1"/>
      <c r="L1334" s="1"/>
    </row>
    <row r="1335" spans="1:12" s="4" customFormat="1" x14ac:dyDescent="0.2">
      <c r="A1335" s="65">
        <v>156</v>
      </c>
      <c r="B1335" s="1" t="s">
        <v>519</v>
      </c>
      <c r="C1335" s="2" t="s">
        <v>7</v>
      </c>
      <c r="D1335" s="1" t="s">
        <v>20</v>
      </c>
      <c r="E1335" s="2" t="s">
        <v>7</v>
      </c>
      <c r="F1335" s="1" t="s">
        <v>35</v>
      </c>
      <c r="G1335" s="91">
        <v>1</v>
      </c>
      <c r="H1335" s="67">
        <v>2.2000000000000001E-3</v>
      </c>
      <c r="I1335" s="103">
        <v>0.6</v>
      </c>
      <c r="K1335" s="1"/>
      <c r="L1335" s="1"/>
    </row>
    <row r="1336" spans="1:12" s="4" customFormat="1" x14ac:dyDescent="0.2">
      <c r="A1336" s="65">
        <v>156</v>
      </c>
      <c r="B1336" s="1" t="s">
        <v>519</v>
      </c>
      <c r="C1336" s="2" t="s">
        <v>7</v>
      </c>
      <c r="D1336" s="1" t="s">
        <v>20</v>
      </c>
      <c r="E1336" s="2" t="s">
        <v>7</v>
      </c>
      <c r="F1336" s="1" t="s">
        <v>35</v>
      </c>
      <c r="G1336" s="91">
        <v>10</v>
      </c>
      <c r="H1336" s="67">
        <v>1.6999999999999999E-3</v>
      </c>
      <c r="I1336" s="103">
        <v>0.46</v>
      </c>
      <c r="K1336" s="1"/>
      <c r="L1336" s="1"/>
    </row>
    <row r="1337" spans="1:12" s="4" customFormat="1" x14ac:dyDescent="0.2">
      <c r="A1337" s="65">
        <v>156</v>
      </c>
      <c r="B1337" s="66" t="s">
        <v>479</v>
      </c>
      <c r="C1337" s="2" t="s">
        <v>7</v>
      </c>
      <c r="D1337" s="1" t="s">
        <v>20</v>
      </c>
      <c r="E1337" s="2" t="s">
        <v>7</v>
      </c>
      <c r="F1337" s="1" t="s">
        <v>35</v>
      </c>
      <c r="G1337" s="91">
        <v>0</v>
      </c>
      <c r="H1337" s="67">
        <v>6.8999999999999999E-3</v>
      </c>
      <c r="I1337" s="103">
        <v>1</v>
      </c>
      <c r="K1337" s="1"/>
      <c r="L1337" s="1"/>
    </row>
    <row r="1338" spans="1:12" s="4" customFormat="1" x14ac:dyDescent="0.2">
      <c r="A1338" s="65">
        <v>156</v>
      </c>
      <c r="B1338" s="66" t="s">
        <v>479</v>
      </c>
      <c r="C1338" s="2" t="s">
        <v>7</v>
      </c>
      <c r="D1338" s="1" t="s">
        <v>20</v>
      </c>
      <c r="E1338" s="2" t="s">
        <v>7</v>
      </c>
      <c r="F1338" s="1" t="s">
        <v>35</v>
      </c>
      <c r="G1338" s="91">
        <v>1E-3</v>
      </c>
      <c r="H1338" s="67">
        <v>4.7000000000000002E-3</v>
      </c>
      <c r="I1338" s="103">
        <v>0.68</v>
      </c>
      <c r="K1338" s="1"/>
      <c r="L1338" s="1"/>
    </row>
    <row r="1339" spans="1:12" s="4" customFormat="1" x14ac:dyDescent="0.2">
      <c r="A1339" s="65">
        <v>156</v>
      </c>
      <c r="B1339" s="66" t="s">
        <v>479</v>
      </c>
      <c r="C1339" s="2" t="s">
        <v>7</v>
      </c>
      <c r="D1339" s="1" t="s">
        <v>20</v>
      </c>
      <c r="E1339" s="2" t="s">
        <v>7</v>
      </c>
      <c r="F1339" s="1" t="s">
        <v>35</v>
      </c>
      <c r="G1339" s="91">
        <v>0.01</v>
      </c>
      <c r="H1339" s="67">
        <v>6.1999999999999998E-3</v>
      </c>
      <c r="I1339" s="103">
        <v>0.9</v>
      </c>
      <c r="K1339" s="1"/>
      <c r="L1339" s="1"/>
    </row>
    <row r="1340" spans="1:12" s="4" customFormat="1" x14ac:dyDescent="0.2">
      <c r="A1340" s="65">
        <v>156</v>
      </c>
      <c r="B1340" s="66" t="s">
        <v>479</v>
      </c>
      <c r="C1340" s="2" t="s">
        <v>7</v>
      </c>
      <c r="D1340" s="1" t="s">
        <v>20</v>
      </c>
      <c r="E1340" s="2" t="s">
        <v>7</v>
      </c>
      <c r="F1340" s="1" t="s">
        <v>35</v>
      </c>
      <c r="G1340" s="91">
        <v>0.1</v>
      </c>
      <c r="H1340" s="67">
        <v>4.1999999999999997E-3</v>
      </c>
      <c r="I1340" s="103">
        <v>0.61</v>
      </c>
      <c r="K1340" s="1"/>
      <c r="L1340" s="1"/>
    </row>
    <row r="1341" spans="1:12" s="4" customFormat="1" x14ac:dyDescent="0.2">
      <c r="A1341" s="65">
        <v>156</v>
      </c>
      <c r="B1341" s="66" t="s">
        <v>479</v>
      </c>
      <c r="C1341" s="2" t="s">
        <v>7</v>
      </c>
      <c r="D1341" s="1" t="s">
        <v>20</v>
      </c>
      <c r="E1341" s="2" t="s">
        <v>7</v>
      </c>
      <c r="F1341" s="1" t="s">
        <v>35</v>
      </c>
      <c r="G1341" s="91">
        <v>1</v>
      </c>
      <c r="H1341" s="67">
        <v>4.5999999999999999E-3</v>
      </c>
      <c r="I1341" s="103">
        <v>0.67</v>
      </c>
      <c r="K1341" s="1"/>
      <c r="L1341" s="1"/>
    </row>
    <row r="1342" spans="1:12" s="4" customFormat="1" x14ac:dyDescent="0.2">
      <c r="A1342" s="65">
        <v>156</v>
      </c>
      <c r="B1342" s="66" t="s">
        <v>479</v>
      </c>
      <c r="C1342" s="2" t="s">
        <v>7</v>
      </c>
      <c r="D1342" s="1" t="s">
        <v>20</v>
      </c>
      <c r="E1342" s="2" t="s">
        <v>7</v>
      </c>
      <c r="F1342" s="1" t="s">
        <v>35</v>
      </c>
      <c r="G1342" s="91">
        <v>10</v>
      </c>
      <c r="H1342" s="67">
        <v>2.5000000000000001E-3</v>
      </c>
      <c r="I1342" s="103">
        <v>0.36</v>
      </c>
      <c r="K1342" s="1"/>
      <c r="L1342" s="1"/>
    </row>
    <row r="1343" spans="1:12" s="4" customFormat="1" x14ac:dyDescent="0.2">
      <c r="A1343" s="65">
        <v>156</v>
      </c>
      <c r="B1343" s="1" t="s">
        <v>500</v>
      </c>
      <c r="C1343" s="2" t="s">
        <v>7</v>
      </c>
      <c r="D1343" s="1" t="s">
        <v>20</v>
      </c>
      <c r="E1343" s="2" t="s">
        <v>7</v>
      </c>
      <c r="F1343" s="1" t="s">
        <v>35</v>
      </c>
      <c r="G1343" s="70">
        <v>0</v>
      </c>
      <c r="H1343" s="67">
        <v>2.5999999999999999E-3</v>
      </c>
      <c r="I1343" s="103">
        <v>1</v>
      </c>
      <c r="K1343" s="1"/>
      <c r="L1343" s="1"/>
    </row>
    <row r="1344" spans="1:12" s="4" customFormat="1" x14ac:dyDescent="0.2">
      <c r="A1344" s="65">
        <v>156</v>
      </c>
      <c r="B1344" s="1" t="s">
        <v>500</v>
      </c>
      <c r="C1344" s="2" t="s">
        <v>7</v>
      </c>
      <c r="D1344" s="1" t="s">
        <v>20</v>
      </c>
      <c r="E1344" s="2" t="s">
        <v>7</v>
      </c>
      <c r="F1344" s="1" t="s">
        <v>35</v>
      </c>
      <c r="G1344" s="70">
        <v>1E-3</v>
      </c>
      <c r="H1344" s="67">
        <v>4.4999999999999997E-3</v>
      </c>
      <c r="I1344" s="103">
        <v>1.72</v>
      </c>
      <c r="K1344" s="1"/>
      <c r="L1344" s="1"/>
    </row>
    <row r="1345" spans="1:12" s="4" customFormat="1" x14ac:dyDescent="0.2">
      <c r="A1345" s="65">
        <v>156</v>
      </c>
      <c r="B1345" s="1" t="s">
        <v>500</v>
      </c>
      <c r="C1345" s="2" t="s">
        <v>7</v>
      </c>
      <c r="D1345" s="1" t="s">
        <v>20</v>
      </c>
      <c r="E1345" s="2" t="s">
        <v>7</v>
      </c>
      <c r="F1345" s="1" t="s">
        <v>35</v>
      </c>
      <c r="G1345" s="70">
        <v>0.01</v>
      </c>
      <c r="H1345" s="67">
        <v>5.3E-3</v>
      </c>
      <c r="I1345" s="103">
        <v>2.0499999999999998</v>
      </c>
      <c r="K1345" s="1"/>
      <c r="L1345" s="1"/>
    </row>
    <row r="1346" spans="1:12" s="4" customFormat="1" x14ac:dyDescent="0.2">
      <c r="A1346" s="65">
        <v>156</v>
      </c>
      <c r="B1346" s="1" t="s">
        <v>500</v>
      </c>
      <c r="C1346" s="2" t="s">
        <v>7</v>
      </c>
      <c r="D1346" s="1" t="s">
        <v>20</v>
      </c>
      <c r="E1346" s="2" t="s">
        <v>7</v>
      </c>
      <c r="F1346" s="1" t="s">
        <v>35</v>
      </c>
      <c r="G1346" s="70">
        <v>0.1</v>
      </c>
      <c r="H1346" s="67">
        <v>2.8999999999999998E-3</v>
      </c>
      <c r="I1346" s="103">
        <v>1.1100000000000001</v>
      </c>
      <c r="K1346" s="1"/>
      <c r="L1346" s="1"/>
    </row>
    <row r="1347" spans="1:12" s="4" customFormat="1" x14ac:dyDescent="0.2">
      <c r="A1347" s="65">
        <v>156</v>
      </c>
      <c r="B1347" s="1" t="s">
        <v>500</v>
      </c>
      <c r="C1347" s="2" t="s">
        <v>7</v>
      </c>
      <c r="D1347" s="1" t="s">
        <v>20</v>
      </c>
      <c r="E1347" s="2" t="s">
        <v>7</v>
      </c>
      <c r="F1347" s="1" t="s">
        <v>35</v>
      </c>
      <c r="G1347" s="70">
        <v>1</v>
      </c>
      <c r="H1347" s="67">
        <v>1.6999999999999999E-3</v>
      </c>
      <c r="I1347" s="103">
        <v>0.66400000000000003</v>
      </c>
      <c r="K1347" s="1"/>
      <c r="L1347" s="1"/>
    </row>
    <row r="1348" spans="1:12" s="4" customFormat="1" x14ac:dyDescent="0.2">
      <c r="A1348" s="65">
        <v>156</v>
      </c>
      <c r="B1348" s="1" t="s">
        <v>500</v>
      </c>
      <c r="C1348" s="2" t="s">
        <v>7</v>
      </c>
      <c r="D1348" s="1" t="s">
        <v>20</v>
      </c>
      <c r="E1348" s="2" t="s">
        <v>7</v>
      </c>
      <c r="F1348" s="1" t="s">
        <v>35</v>
      </c>
      <c r="G1348" s="70">
        <v>10</v>
      </c>
      <c r="H1348" s="67">
        <v>4.4999999999999997E-3</v>
      </c>
      <c r="I1348" s="103">
        <v>0.63</v>
      </c>
      <c r="K1348" s="1"/>
      <c r="L1348" s="1"/>
    </row>
    <row r="1349" spans="1:12" s="4" customFormat="1" x14ac:dyDescent="0.2">
      <c r="A1349" s="65">
        <v>156</v>
      </c>
      <c r="B1349" s="66" t="s">
        <v>508</v>
      </c>
      <c r="C1349" s="2" t="s">
        <v>7</v>
      </c>
      <c r="D1349" s="1" t="s">
        <v>20</v>
      </c>
      <c r="E1349" s="2" t="s">
        <v>7</v>
      </c>
      <c r="F1349" s="1" t="s">
        <v>35</v>
      </c>
      <c r="G1349" s="70">
        <v>0</v>
      </c>
      <c r="H1349" s="67">
        <v>2.5999999999999999E-3</v>
      </c>
      <c r="I1349" s="103">
        <v>1</v>
      </c>
      <c r="K1349" s="1"/>
      <c r="L1349" s="1"/>
    </row>
    <row r="1350" spans="1:12" s="4" customFormat="1" x14ac:dyDescent="0.2">
      <c r="A1350" s="65">
        <v>156</v>
      </c>
      <c r="B1350" s="66" t="s">
        <v>508</v>
      </c>
      <c r="C1350" s="2" t="s">
        <v>7</v>
      </c>
      <c r="D1350" s="1" t="s">
        <v>20</v>
      </c>
      <c r="E1350" s="2" t="s">
        <v>7</v>
      </c>
      <c r="F1350" s="1" t="s">
        <v>35</v>
      </c>
      <c r="G1350" s="70">
        <v>1E-3</v>
      </c>
      <c r="H1350" s="67">
        <v>2.5999999999999999E-3</v>
      </c>
      <c r="I1350" s="103">
        <v>0.99</v>
      </c>
      <c r="K1350" s="1"/>
      <c r="L1350" s="1"/>
    </row>
    <row r="1351" spans="1:12" s="4" customFormat="1" x14ac:dyDescent="0.2">
      <c r="A1351" s="65">
        <v>156</v>
      </c>
      <c r="B1351" s="66" t="s">
        <v>508</v>
      </c>
      <c r="C1351" s="2" t="s">
        <v>7</v>
      </c>
      <c r="D1351" s="1" t="s">
        <v>20</v>
      </c>
      <c r="E1351" s="2" t="s">
        <v>7</v>
      </c>
      <c r="F1351" s="1" t="s">
        <v>35</v>
      </c>
      <c r="G1351" s="70">
        <v>0.01</v>
      </c>
      <c r="H1351" s="67">
        <v>5.0000000000000001E-3</v>
      </c>
      <c r="I1351" s="103">
        <v>1.92</v>
      </c>
      <c r="K1351" s="1"/>
      <c r="L1351" s="1"/>
    </row>
    <row r="1352" spans="1:12" s="4" customFormat="1" x14ac:dyDescent="0.2">
      <c r="A1352" s="65">
        <v>156</v>
      </c>
      <c r="B1352" s="66" t="s">
        <v>508</v>
      </c>
      <c r="C1352" s="2" t="s">
        <v>7</v>
      </c>
      <c r="D1352" s="1" t="s">
        <v>20</v>
      </c>
      <c r="E1352" s="2" t="s">
        <v>7</v>
      </c>
      <c r="F1352" s="1" t="s">
        <v>35</v>
      </c>
      <c r="G1352" s="70">
        <v>0.1</v>
      </c>
      <c r="H1352" s="67">
        <v>4.1999999999999997E-3</v>
      </c>
      <c r="I1352" s="103">
        <v>1.61</v>
      </c>
      <c r="K1352" s="1"/>
      <c r="L1352" s="1"/>
    </row>
    <row r="1353" spans="1:12" s="4" customFormat="1" x14ac:dyDescent="0.2">
      <c r="A1353" s="65">
        <v>156</v>
      </c>
      <c r="B1353" s="66" t="s">
        <v>508</v>
      </c>
      <c r="C1353" s="2" t="s">
        <v>7</v>
      </c>
      <c r="D1353" s="1" t="s">
        <v>20</v>
      </c>
      <c r="E1353" s="2" t="s">
        <v>7</v>
      </c>
      <c r="F1353" s="1" t="s">
        <v>35</v>
      </c>
      <c r="G1353" s="70">
        <v>1</v>
      </c>
      <c r="H1353" s="67">
        <v>4.4000000000000003E-3</v>
      </c>
      <c r="I1353" s="103">
        <v>1.7</v>
      </c>
      <c r="K1353" s="1"/>
      <c r="L1353" s="1"/>
    </row>
    <row r="1354" spans="1:12" s="4" customFormat="1" x14ac:dyDescent="0.2">
      <c r="A1354" s="65">
        <v>156</v>
      </c>
      <c r="B1354" s="66" t="s">
        <v>508</v>
      </c>
      <c r="C1354" s="2" t="s">
        <v>7</v>
      </c>
      <c r="D1354" s="1" t="s">
        <v>20</v>
      </c>
      <c r="E1354" s="2" t="s">
        <v>7</v>
      </c>
      <c r="F1354" s="1" t="s">
        <v>35</v>
      </c>
      <c r="G1354" s="70">
        <v>10</v>
      </c>
      <c r="H1354" s="67">
        <v>4.4999999999999997E-3</v>
      </c>
      <c r="I1354" s="103">
        <v>1.71</v>
      </c>
      <c r="K1354" s="1"/>
      <c r="L1354" s="1"/>
    </row>
    <row r="1355" spans="1:12" s="4" customFormat="1" x14ac:dyDescent="0.2">
      <c r="A1355" s="65">
        <v>156</v>
      </c>
      <c r="B1355" s="66" t="s">
        <v>501</v>
      </c>
      <c r="C1355" s="2" t="s">
        <v>7</v>
      </c>
      <c r="D1355" s="1" t="s">
        <v>20</v>
      </c>
      <c r="E1355" s="2" t="s">
        <v>7</v>
      </c>
      <c r="F1355" s="1" t="s">
        <v>35</v>
      </c>
      <c r="G1355" s="91">
        <v>0</v>
      </c>
      <c r="H1355" s="67">
        <v>1.9E-2</v>
      </c>
      <c r="I1355" s="103">
        <v>1</v>
      </c>
      <c r="K1355" s="1"/>
      <c r="L1355" s="1"/>
    </row>
    <row r="1356" spans="1:12" s="4" customFormat="1" x14ac:dyDescent="0.2">
      <c r="A1356" s="65">
        <v>156</v>
      </c>
      <c r="B1356" s="66" t="s">
        <v>501</v>
      </c>
      <c r="C1356" s="2" t="s">
        <v>7</v>
      </c>
      <c r="D1356" s="1" t="s">
        <v>20</v>
      </c>
      <c r="E1356" s="2" t="s">
        <v>7</v>
      </c>
      <c r="F1356" s="1" t="s">
        <v>35</v>
      </c>
      <c r="G1356" s="91">
        <v>1E-3</v>
      </c>
      <c r="H1356" s="67">
        <v>9.7999999999999997E-3</v>
      </c>
      <c r="I1356" s="103">
        <v>0.82</v>
      </c>
      <c r="K1356" s="1"/>
      <c r="L1356" s="1"/>
    </row>
    <row r="1357" spans="1:12" s="4" customFormat="1" x14ac:dyDescent="0.2">
      <c r="A1357" s="65">
        <v>156</v>
      </c>
      <c r="B1357" s="66" t="s">
        <v>501</v>
      </c>
      <c r="C1357" s="2" t="s">
        <v>7</v>
      </c>
      <c r="D1357" s="1" t="s">
        <v>20</v>
      </c>
      <c r="E1357" s="2" t="s">
        <v>7</v>
      </c>
      <c r="F1357" s="1" t="s">
        <v>35</v>
      </c>
      <c r="G1357" s="91">
        <v>0.01</v>
      </c>
      <c r="H1357" s="67">
        <v>1.0800000000000001E-2</v>
      </c>
      <c r="I1357" s="103">
        <v>0.91</v>
      </c>
      <c r="K1357" s="1"/>
      <c r="L1357" s="1"/>
    </row>
    <row r="1358" spans="1:12" s="4" customFormat="1" x14ac:dyDescent="0.2">
      <c r="A1358" s="65">
        <v>156</v>
      </c>
      <c r="B1358" s="66" t="s">
        <v>501</v>
      </c>
      <c r="C1358" s="2" t="s">
        <v>7</v>
      </c>
      <c r="D1358" s="1" t="s">
        <v>20</v>
      </c>
      <c r="E1358" s="2" t="s">
        <v>7</v>
      </c>
      <c r="F1358" s="1" t="s">
        <v>35</v>
      </c>
      <c r="G1358" s="91">
        <v>0.1</v>
      </c>
      <c r="H1358" s="67">
        <v>1.06E-2</v>
      </c>
      <c r="I1358" s="103">
        <v>0.89</v>
      </c>
      <c r="K1358" s="1"/>
      <c r="L1358" s="1"/>
    </row>
    <row r="1359" spans="1:12" s="4" customFormat="1" x14ac:dyDescent="0.2">
      <c r="A1359" s="65">
        <v>156</v>
      </c>
      <c r="B1359" s="66" t="s">
        <v>501</v>
      </c>
      <c r="C1359" s="2" t="s">
        <v>7</v>
      </c>
      <c r="D1359" s="1" t="s">
        <v>20</v>
      </c>
      <c r="E1359" s="2" t="s">
        <v>7</v>
      </c>
      <c r="F1359" s="1" t="s">
        <v>35</v>
      </c>
      <c r="G1359" s="91">
        <v>1</v>
      </c>
      <c r="H1359" s="67">
        <v>1.17E-2</v>
      </c>
      <c r="I1359" s="103">
        <v>0.98</v>
      </c>
      <c r="K1359" s="1"/>
      <c r="L1359" s="1"/>
    </row>
    <row r="1360" spans="1:12" s="4" customFormat="1" x14ac:dyDescent="0.2">
      <c r="A1360" s="65">
        <v>156</v>
      </c>
      <c r="B1360" s="66" t="s">
        <v>501</v>
      </c>
      <c r="C1360" s="2" t="s">
        <v>7</v>
      </c>
      <c r="D1360" s="1" t="s">
        <v>20</v>
      </c>
      <c r="E1360" s="2" t="s">
        <v>7</v>
      </c>
      <c r="F1360" s="1" t="s">
        <v>35</v>
      </c>
      <c r="G1360" s="91">
        <v>10</v>
      </c>
      <c r="H1360" s="67">
        <v>9.9000000000000008E-3</v>
      </c>
      <c r="I1360" s="103">
        <v>0.83</v>
      </c>
      <c r="K1360" s="1"/>
      <c r="L1360" s="1"/>
    </row>
    <row r="1361" spans="1:12" s="4" customFormat="1" x14ac:dyDescent="0.2">
      <c r="A1361" s="65">
        <v>156</v>
      </c>
      <c r="B1361" s="66" t="s">
        <v>512</v>
      </c>
      <c r="C1361" s="2" t="s">
        <v>7</v>
      </c>
      <c r="D1361" s="1" t="s">
        <v>20</v>
      </c>
      <c r="E1361" s="2" t="s">
        <v>7</v>
      </c>
      <c r="F1361" s="1" t="s">
        <v>35</v>
      </c>
      <c r="G1361" s="91">
        <v>0</v>
      </c>
      <c r="H1361" s="67">
        <v>1.1900000000000001E-2</v>
      </c>
      <c r="I1361" s="103">
        <v>1</v>
      </c>
      <c r="K1361" s="1"/>
      <c r="L1361" s="1"/>
    </row>
    <row r="1362" spans="1:12" s="4" customFormat="1" x14ac:dyDescent="0.2">
      <c r="A1362" s="65">
        <v>156</v>
      </c>
      <c r="B1362" s="66" t="s">
        <v>512</v>
      </c>
      <c r="C1362" s="2" t="s">
        <v>7</v>
      </c>
      <c r="D1362" s="1" t="s">
        <v>20</v>
      </c>
      <c r="E1362" s="2" t="s">
        <v>7</v>
      </c>
      <c r="F1362" s="1" t="s">
        <v>35</v>
      </c>
      <c r="G1362" s="91">
        <v>1E-3</v>
      </c>
      <c r="H1362" s="67">
        <v>5.5999999999999999E-3</v>
      </c>
      <c r="I1362" s="103">
        <v>0.47</v>
      </c>
      <c r="K1362" s="1"/>
      <c r="L1362" s="1"/>
    </row>
    <row r="1363" spans="1:12" s="4" customFormat="1" x14ac:dyDescent="0.2">
      <c r="A1363" s="65">
        <v>156</v>
      </c>
      <c r="B1363" s="66" t="s">
        <v>512</v>
      </c>
      <c r="C1363" s="2" t="s">
        <v>7</v>
      </c>
      <c r="D1363" s="1" t="s">
        <v>20</v>
      </c>
      <c r="E1363" s="2" t="s">
        <v>7</v>
      </c>
      <c r="F1363" s="1" t="s">
        <v>35</v>
      </c>
      <c r="G1363" s="91">
        <v>0.01</v>
      </c>
      <c r="H1363" s="67">
        <v>8.9999999999999993E-3</v>
      </c>
      <c r="I1363" s="103">
        <v>0.76</v>
      </c>
      <c r="K1363" s="1"/>
      <c r="L1363" s="1"/>
    </row>
    <row r="1364" spans="1:12" s="4" customFormat="1" x14ac:dyDescent="0.2">
      <c r="A1364" s="65">
        <v>156</v>
      </c>
      <c r="B1364" s="66" t="s">
        <v>512</v>
      </c>
      <c r="C1364" s="2" t="s">
        <v>7</v>
      </c>
      <c r="D1364" s="1" t="s">
        <v>20</v>
      </c>
      <c r="E1364" s="2" t="s">
        <v>7</v>
      </c>
      <c r="F1364" s="1" t="s">
        <v>35</v>
      </c>
      <c r="G1364" s="91">
        <v>0.1</v>
      </c>
      <c r="H1364" s="67">
        <v>1.23E-2</v>
      </c>
      <c r="I1364" s="103">
        <v>1.03</v>
      </c>
      <c r="K1364" s="1"/>
      <c r="L1364" s="1"/>
    </row>
    <row r="1365" spans="1:12" s="4" customFormat="1" x14ac:dyDescent="0.2">
      <c r="A1365" s="65">
        <v>156</v>
      </c>
      <c r="B1365" s="66" t="s">
        <v>512</v>
      </c>
      <c r="C1365" s="2" t="s">
        <v>7</v>
      </c>
      <c r="D1365" s="1" t="s">
        <v>20</v>
      </c>
      <c r="E1365" s="2" t="s">
        <v>7</v>
      </c>
      <c r="F1365" s="1" t="s">
        <v>35</v>
      </c>
      <c r="G1365" s="91">
        <v>1</v>
      </c>
      <c r="H1365" s="67">
        <v>7.7999999999999996E-3</v>
      </c>
      <c r="I1365" s="103">
        <v>0.66</v>
      </c>
      <c r="K1365" s="1"/>
      <c r="L1365" s="1"/>
    </row>
    <row r="1366" spans="1:12" s="4" customFormat="1" x14ac:dyDescent="0.2">
      <c r="A1366" s="65">
        <v>156</v>
      </c>
      <c r="B1366" s="66" t="s">
        <v>512</v>
      </c>
      <c r="C1366" s="2" t="s">
        <v>7</v>
      </c>
      <c r="D1366" s="1" t="s">
        <v>20</v>
      </c>
      <c r="E1366" s="2" t="s">
        <v>7</v>
      </c>
      <c r="F1366" s="1" t="s">
        <v>35</v>
      </c>
      <c r="G1366" s="91">
        <v>10</v>
      </c>
      <c r="H1366" s="67">
        <v>5.4999999999999997E-3</v>
      </c>
      <c r="I1366" s="103">
        <v>0.55000000000000004</v>
      </c>
      <c r="K1366" s="1"/>
      <c r="L1366" s="1"/>
    </row>
    <row r="1367" spans="1:12" s="4" customFormat="1" x14ac:dyDescent="0.2">
      <c r="A1367" s="65">
        <v>156</v>
      </c>
      <c r="B1367" s="66" t="s">
        <v>502</v>
      </c>
      <c r="C1367" s="2" t="s">
        <v>7</v>
      </c>
      <c r="D1367" s="1" t="s">
        <v>20</v>
      </c>
      <c r="E1367" s="2" t="s">
        <v>7</v>
      </c>
      <c r="F1367" s="1" t="s">
        <v>35</v>
      </c>
      <c r="G1367" s="91">
        <v>0</v>
      </c>
      <c r="H1367" s="67">
        <v>9.1999999999999998E-3</v>
      </c>
      <c r="I1367" s="103">
        <v>1</v>
      </c>
      <c r="K1367" s="1"/>
      <c r="L1367" s="1"/>
    </row>
    <row r="1368" spans="1:12" s="4" customFormat="1" x14ac:dyDescent="0.2">
      <c r="A1368" s="65">
        <v>156</v>
      </c>
      <c r="B1368" s="66" t="s">
        <v>502</v>
      </c>
      <c r="C1368" s="2" t="s">
        <v>7</v>
      </c>
      <c r="D1368" s="1" t="s">
        <v>20</v>
      </c>
      <c r="E1368" s="2" t="s">
        <v>7</v>
      </c>
      <c r="F1368" s="1" t="s">
        <v>35</v>
      </c>
      <c r="G1368" s="91">
        <v>1E-3</v>
      </c>
      <c r="H1368" s="67">
        <v>6.0000000000000001E-3</v>
      </c>
      <c r="I1368" s="103">
        <v>0.65</v>
      </c>
      <c r="K1368" s="1"/>
      <c r="L1368" s="1"/>
    </row>
    <row r="1369" spans="1:12" s="4" customFormat="1" x14ac:dyDescent="0.2">
      <c r="A1369" s="65">
        <v>156</v>
      </c>
      <c r="B1369" s="66" t="s">
        <v>502</v>
      </c>
      <c r="C1369" s="2" t="s">
        <v>7</v>
      </c>
      <c r="D1369" s="1" t="s">
        <v>20</v>
      </c>
      <c r="E1369" s="2" t="s">
        <v>7</v>
      </c>
      <c r="F1369" s="1" t="s">
        <v>35</v>
      </c>
      <c r="G1369" s="91">
        <v>0.01</v>
      </c>
      <c r="H1369" s="67">
        <v>8.3999999999999995E-3</v>
      </c>
      <c r="I1369" s="103">
        <v>0.91</v>
      </c>
      <c r="K1369" s="1"/>
      <c r="L1369" s="1"/>
    </row>
    <row r="1370" spans="1:12" s="4" customFormat="1" x14ac:dyDescent="0.2">
      <c r="A1370" s="65">
        <v>156</v>
      </c>
      <c r="B1370" s="66" t="s">
        <v>502</v>
      </c>
      <c r="C1370" s="2" t="s">
        <v>7</v>
      </c>
      <c r="D1370" s="1" t="s">
        <v>20</v>
      </c>
      <c r="E1370" s="2" t="s">
        <v>7</v>
      </c>
      <c r="F1370" s="1" t="s">
        <v>35</v>
      </c>
      <c r="G1370" s="91">
        <v>0.1</v>
      </c>
      <c r="H1370" s="67">
        <v>1.09E-2</v>
      </c>
      <c r="I1370" s="103">
        <v>1.18</v>
      </c>
      <c r="K1370" s="1"/>
      <c r="L1370" s="1"/>
    </row>
    <row r="1371" spans="1:12" s="4" customFormat="1" x14ac:dyDescent="0.2">
      <c r="A1371" s="65">
        <v>156</v>
      </c>
      <c r="B1371" s="66" t="s">
        <v>502</v>
      </c>
      <c r="C1371" s="2" t="s">
        <v>7</v>
      </c>
      <c r="D1371" s="1" t="s">
        <v>20</v>
      </c>
      <c r="E1371" s="2" t="s">
        <v>7</v>
      </c>
      <c r="F1371" s="1" t="s">
        <v>35</v>
      </c>
      <c r="G1371" s="91">
        <v>1</v>
      </c>
      <c r="H1371" s="67">
        <v>7.1000000000000004E-3</v>
      </c>
      <c r="I1371" s="103">
        <v>0.77</v>
      </c>
      <c r="K1371" s="1"/>
      <c r="L1371" s="1"/>
    </row>
    <row r="1372" spans="1:12" s="4" customFormat="1" x14ac:dyDescent="0.2">
      <c r="A1372" s="65">
        <v>156</v>
      </c>
      <c r="B1372" s="66" t="s">
        <v>502</v>
      </c>
      <c r="C1372" s="2" t="s">
        <v>7</v>
      </c>
      <c r="D1372" s="1" t="s">
        <v>20</v>
      </c>
      <c r="E1372" s="2" t="s">
        <v>7</v>
      </c>
      <c r="F1372" s="1" t="s">
        <v>35</v>
      </c>
      <c r="G1372" s="91">
        <v>10</v>
      </c>
      <c r="H1372" s="67">
        <v>6.7999999999999996E-3</v>
      </c>
      <c r="I1372" s="103">
        <v>0.74</v>
      </c>
      <c r="K1372" s="1"/>
      <c r="L1372" s="1"/>
    </row>
    <row r="1373" spans="1:12" s="4" customFormat="1" x14ac:dyDescent="0.2">
      <c r="A1373" s="65">
        <v>156</v>
      </c>
      <c r="B1373" s="66" t="s">
        <v>503</v>
      </c>
      <c r="C1373" s="2" t="s">
        <v>7</v>
      </c>
      <c r="D1373" s="1" t="s">
        <v>20</v>
      </c>
      <c r="E1373" s="2" t="s">
        <v>7</v>
      </c>
      <c r="F1373" s="1" t="s">
        <v>35</v>
      </c>
      <c r="G1373" s="91">
        <v>0</v>
      </c>
      <c r="H1373" s="67">
        <v>9.9000000000000008E-3</v>
      </c>
      <c r="I1373" s="103">
        <v>1</v>
      </c>
      <c r="K1373" s="1"/>
      <c r="L1373" s="1"/>
    </row>
    <row r="1374" spans="1:12" s="4" customFormat="1" x14ac:dyDescent="0.2">
      <c r="A1374" s="65">
        <v>156</v>
      </c>
      <c r="B1374" s="66" t="s">
        <v>503</v>
      </c>
      <c r="C1374" s="2" t="s">
        <v>7</v>
      </c>
      <c r="D1374" s="1" t="s">
        <v>20</v>
      </c>
      <c r="E1374" s="2" t="s">
        <v>7</v>
      </c>
      <c r="F1374" s="1" t="s">
        <v>35</v>
      </c>
      <c r="G1374" s="91">
        <v>1E-3</v>
      </c>
      <c r="H1374" s="67">
        <v>9.7999999999999997E-3</v>
      </c>
      <c r="I1374" s="103">
        <v>0.98</v>
      </c>
      <c r="K1374" s="1"/>
      <c r="L1374" s="1"/>
    </row>
    <row r="1375" spans="1:12" s="4" customFormat="1" x14ac:dyDescent="0.2">
      <c r="A1375" s="65">
        <v>156</v>
      </c>
      <c r="B1375" s="66" t="s">
        <v>503</v>
      </c>
      <c r="C1375" s="2" t="s">
        <v>7</v>
      </c>
      <c r="D1375" s="1" t="s">
        <v>20</v>
      </c>
      <c r="E1375" s="2" t="s">
        <v>7</v>
      </c>
      <c r="F1375" s="1" t="s">
        <v>35</v>
      </c>
      <c r="G1375" s="91">
        <v>0.01</v>
      </c>
      <c r="H1375" s="67">
        <v>8.3000000000000001E-3</v>
      </c>
      <c r="I1375" s="103">
        <v>0.83</v>
      </c>
      <c r="K1375" s="1"/>
      <c r="L1375" s="1"/>
    </row>
    <row r="1376" spans="1:12" s="4" customFormat="1" x14ac:dyDescent="0.2">
      <c r="A1376" s="65">
        <v>156</v>
      </c>
      <c r="B1376" s="66" t="s">
        <v>503</v>
      </c>
      <c r="C1376" s="2" t="s">
        <v>7</v>
      </c>
      <c r="D1376" s="1" t="s">
        <v>20</v>
      </c>
      <c r="E1376" s="2" t="s">
        <v>7</v>
      </c>
      <c r="F1376" s="1" t="s">
        <v>35</v>
      </c>
      <c r="G1376" s="91">
        <v>0.1</v>
      </c>
      <c r="H1376" s="67">
        <v>8.0999999999999996E-3</v>
      </c>
      <c r="I1376" s="103">
        <v>0.81</v>
      </c>
      <c r="K1376" s="1"/>
      <c r="L1376" s="1"/>
    </row>
    <row r="1377" spans="1:12" s="4" customFormat="1" x14ac:dyDescent="0.2">
      <c r="A1377" s="65">
        <v>156</v>
      </c>
      <c r="B1377" s="66" t="s">
        <v>503</v>
      </c>
      <c r="C1377" s="2" t="s">
        <v>7</v>
      </c>
      <c r="D1377" s="1" t="s">
        <v>20</v>
      </c>
      <c r="E1377" s="2" t="s">
        <v>7</v>
      </c>
      <c r="F1377" s="1" t="s">
        <v>35</v>
      </c>
      <c r="G1377" s="91">
        <v>1</v>
      </c>
      <c r="H1377" s="67">
        <v>5.8999999999999999E-3</v>
      </c>
      <c r="I1377" s="103">
        <v>0.59</v>
      </c>
      <c r="K1377" s="1"/>
      <c r="L1377" s="1"/>
    </row>
    <row r="1378" spans="1:12" s="4" customFormat="1" x14ac:dyDescent="0.2">
      <c r="A1378" s="65">
        <v>156</v>
      </c>
      <c r="B1378" s="66" t="s">
        <v>503</v>
      </c>
      <c r="C1378" s="2" t="s">
        <v>7</v>
      </c>
      <c r="D1378" s="1" t="s">
        <v>20</v>
      </c>
      <c r="E1378" s="2" t="s">
        <v>7</v>
      </c>
      <c r="F1378" s="1" t="s">
        <v>35</v>
      </c>
      <c r="G1378" s="91">
        <v>10</v>
      </c>
      <c r="H1378" s="67">
        <v>8.5000000000000006E-3</v>
      </c>
      <c r="I1378" s="103">
        <v>0.86</v>
      </c>
      <c r="K1378" s="1"/>
      <c r="L1378" s="1"/>
    </row>
    <row r="1379" spans="1:12" s="4" customFormat="1" x14ac:dyDescent="0.2">
      <c r="A1379" s="65">
        <v>156</v>
      </c>
      <c r="B1379" s="66" t="s">
        <v>504</v>
      </c>
      <c r="C1379" s="2" t="s">
        <v>7</v>
      </c>
      <c r="D1379" s="1" t="s">
        <v>20</v>
      </c>
      <c r="E1379" s="2" t="s">
        <v>7</v>
      </c>
      <c r="F1379" s="1" t="s">
        <v>35</v>
      </c>
      <c r="G1379" s="91">
        <v>0</v>
      </c>
      <c r="H1379" s="67">
        <v>1.1900000000000001E-2</v>
      </c>
      <c r="I1379" s="103">
        <v>1</v>
      </c>
      <c r="K1379" s="1"/>
      <c r="L1379" s="1"/>
    </row>
    <row r="1380" spans="1:12" s="4" customFormat="1" x14ac:dyDescent="0.2">
      <c r="A1380" s="65">
        <v>156</v>
      </c>
      <c r="B1380" s="66" t="s">
        <v>504</v>
      </c>
      <c r="C1380" s="2" t="s">
        <v>7</v>
      </c>
      <c r="D1380" s="1" t="s">
        <v>20</v>
      </c>
      <c r="E1380" s="2" t="s">
        <v>7</v>
      </c>
      <c r="F1380" s="1" t="s">
        <v>35</v>
      </c>
      <c r="G1380" s="91">
        <v>1E-3</v>
      </c>
      <c r="H1380" s="67">
        <v>9.7999999999999997E-3</v>
      </c>
      <c r="I1380" s="103">
        <v>0.82</v>
      </c>
      <c r="K1380" s="1"/>
      <c r="L1380" s="1"/>
    </row>
    <row r="1381" spans="1:12" s="4" customFormat="1" x14ac:dyDescent="0.2">
      <c r="A1381" s="65">
        <v>156</v>
      </c>
      <c r="B1381" s="66" t="s">
        <v>504</v>
      </c>
      <c r="C1381" s="2" t="s">
        <v>7</v>
      </c>
      <c r="D1381" s="1" t="s">
        <v>20</v>
      </c>
      <c r="E1381" s="2" t="s">
        <v>7</v>
      </c>
      <c r="F1381" s="1" t="s">
        <v>35</v>
      </c>
      <c r="G1381" s="91">
        <v>0.01</v>
      </c>
      <c r="H1381" s="67">
        <v>1.08E-3</v>
      </c>
      <c r="I1381" s="103">
        <v>0.91</v>
      </c>
      <c r="K1381" s="1"/>
      <c r="L1381" s="1"/>
    </row>
    <row r="1382" spans="1:12" s="4" customFormat="1" x14ac:dyDescent="0.2">
      <c r="A1382" s="65">
        <v>156</v>
      </c>
      <c r="B1382" s="66" t="s">
        <v>504</v>
      </c>
      <c r="C1382" s="2" t="s">
        <v>7</v>
      </c>
      <c r="D1382" s="1" t="s">
        <v>20</v>
      </c>
      <c r="E1382" s="2" t="s">
        <v>7</v>
      </c>
      <c r="F1382" s="1" t="s">
        <v>35</v>
      </c>
      <c r="G1382" s="91">
        <v>0.1</v>
      </c>
      <c r="H1382" s="67">
        <v>1.0399999999999999E-3</v>
      </c>
      <c r="I1382" s="103">
        <v>0.88</v>
      </c>
      <c r="K1382" s="1"/>
      <c r="L1382" s="1"/>
    </row>
    <row r="1383" spans="1:12" s="4" customFormat="1" x14ac:dyDescent="0.2">
      <c r="A1383" s="65">
        <v>156</v>
      </c>
      <c r="B1383" s="66" t="s">
        <v>504</v>
      </c>
      <c r="C1383" s="2" t="s">
        <v>7</v>
      </c>
      <c r="D1383" s="1" t="s">
        <v>20</v>
      </c>
      <c r="E1383" s="2" t="s">
        <v>7</v>
      </c>
      <c r="F1383" s="1" t="s">
        <v>35</v>
      </c>
      <c r="G1383" s="91">
        <v>1</v>
      </c>
      <c r="H1383" s="67">
        <v>7.6E-3</v>
      </c>
      <c r="I1383" s="103">
        <v>0.64</v>
      </c>
      <c r="K1383" s="1"/>
      <c r="L1383" s="1"/>
    </row>
    <row r="1384" spans="1:12" s="4" customFormat="1" x14ac:dyDescent="0.2">
      <c r="A1384" s="65">
        <v>156</v>
      </c>
      <c r="B1384" s="66" t="s">
        <v>504</v>
      </c>
      <c r="C1384" s="2" t="s">
        <v>7</v>
      </c>
      <c r="D1384" s="1" t="s">
        <v>20</v>
      </c>
      <c r="E1384" s="2" t="s">
        <v>7</v>
      </c>
      <c r="F1384" s="1" t="s">
        <v>35</v>
      </c>
      <c r="G1384" s="91">
        <v>10</v>
      </c>
      <c r="H1384" s="67">
        <v>7.1000000000000004E-3</v>
      </c>
      <c r="I1384" s="103">
        <v>0.6</v>
      </c>
      <c r="K1384" s="1"/>
      <c r="L1384" s="1"/>
    </row>
    <row r="1385" spans="1:12" s="4" customFormat="1" x14ac:dyDescent="0.2">
      <c r="A1385" s="65">
        <v>156</v>
      </c>
      <c r="B1385" s="66" t="s">
        <v>467</v>
      </c>
      <c r="C1385" s="2" t="s">
        <v>7</v>
      </c>
      <c r="D1385" s="1" t="s">
        <v>20</v>
      </c>
      <c r="E1385" s="2" t="s">
        <v>7</v>
      </c>
      <c r="F1385" s="1" t="s">
        <v>35</v>
      </c>
      <c r="G1385" s="70">
        <v>0</v>
      </c>
      <c r="H1385" s="67">
        <v>9.1999999999999998E-3</v>
      </c>
      <c r="I1385" s="103">
        <v>1</v>
      </c>
      <c r="K1385" s="1"/>
      <c r="L1385" s="1"/>
    </row>
    <row r="1386" spans="1:12" s="4" customFormat="1" x14ac:dyDescent="0.2">
      <c r="A1386" s="65">
        <v>156</v>
      </c>
      <c r="B1386" s="66" t="s">
        <v>467</v>
      </c>
      <c r="C1386" s="2" t="s">
        <v>7</v>
      </c>
      <c r="D1386" s="1" t="s">
        <v>20</v>
      </c>
      <c r="E1386" s="2" t="s">
        <v>7</v>
      </c>
      <c r="F1386" s="1" t="s">
        <v>35</v>
      </c>
      <c r="G1386" s="70">
        <v>145</v>
      </c>
      <c r="H1386" s="67">
        <v>1.2500000000000001E-2</v>
      </c>
      <c r="I1386" s="103">
        <v>0.44</v>
      </c>
      <c r="K1386" s="1"/>
      <c r="L1386" s="1"/>
    </row>
    <row r="1387" spans="1:12" s="4" customFormat="1" x14ac:dyDescent="0.2">
      <c r="A1387" s="65">
        <v>156</v>
      </c>
      <c r="B1387" s="66" t="s">
        <v>467</v>
      </c>
      <c r="C1387" s="2" t="s">
        <v>7</v>
      </c>
      <c r="D1387" s="1" t="s">
        <v>20</v>
      </c>
      <c r="E1387" s="2" t="s">
        <v>7</v>
      </c>
      <c r="F1387" s="1" t="s">
        <v>35</v>
      </c>
      <c r="G1387" s="70">
        <v>1450</v>
      </c>
      <c r="H1387" s="67">
        <v>5.8999999999999999E-3</v>
      </c>
      <c r="I1387" s="103">
        <v>0.64</v>
      </c>
      <c r="K1387" s="1"/>
      <c r="L1387" s="1"/>
    </row>
    <row r="1388" spans="1:12" s="4" customFormat="1" x14ac:dyDescent="0.2">
      <c r="A1388" s="65">
        <v>156</v>
      </c>
      <c r="B1388" s="66" t="s">
        <v>467</v>
      </c>
      <c r="C1388" s="2" t="s">
        <v>7</v>
      </c>
      <c r="D1388" s="1" t="s">
        <v>20</v>
      </c>
      <c r="E1388" s="2" t="s">
        <v>7</v>
      </c>
      <c r="F1388" s="1" t="s">
        <v>35</v>
      </c>
      <c r="G1388" s="70">
        <v>14500</v>
      </c>
      <c r="H1388" s="67">
        <v>1.11E-2</v>
      </c>
      <c r="I1388" s="103">
        <v>1.2</v>
      </c>
      <c r="K1388" s="1"/>
      <c r="L1388" s="1"/>
    </row>
    <row r="1389" spans="1:12" s="4" customFormat="1" x14ac:dyDescent="0.2">
      <c r="A1389" s="65">
        <v>156</v>
      </c>
      <c r="B1389" s="66" t="s">
        <v>467</v>
      </c>
      <c r="C1389" s="2" t="s">
        <v>7</v>
      </c>
      <c r="D1389" s="1" t="s">
        <v>20</v>
      </c>
      <c r="E1389" s="2" t="s">
        <v>7</v>
      </c>
      <c r="F1389" s="1" t="s">
        <v>35</v>
      </c>
      <c r="G1389" s="70">
        <v>145000</v>
      </c>
      <c r="H1389" s="67">
        <v>6.1000000000000004E-3</v>
      </c>
      <c r="I1389" s="103">
        <v>0.66</v>
      </c>
      <c r="K1389" s="1"/>
      <c r="L1389" s="1"/>
    </row>
    <row r="1390" spans="1:12" s="4" customFormat="1" x14ac:dyDescent="0.2">
      <c r="A1390" s="65">
        <v>156</v>
      </c>
      <c r="B1390" s="66" t="s">
        <v>505</v>
      </c>
      <c r="C1390" s="2" t="s">
        <v>7</v>
      </c>
      <c r="D1390" s="1" t="s">
        <v>20</v>
      </c>
      <c r="E1390" s="2" t="s">
        <v>7</v>
      </c>
      <c r="F1390" s="1" t="s">
        <v>35</v>
      </c>
      <c r="G1390" s="70">
        <v>0</v>
      </c>
      <c r="H1390" s="67">
        <v>1.1900000000000001E-2</v>
      </c>
      <c r="I1390" s="103">
        <v>1</v>
      </c>
      <c r="K1390" s="1"/>
      <c r="L1390" s="1"/>
    </row>
    <row r="1391" spans="1:12" s="4" customFormat="1" x14ac:dyDescent="0.2">
      <c r="A1391" s="65">
        <v>156</v>
      </c>
      <c r="B1391" s="66" t="s">
        <v>505</v>
      </c>
      <c r="C1391" s="2" t="s">
        <v>7</v>
      </c>
      <c r="D1391" s="1" t="s">
        <v>20</v>
      </c>
      <c r="E1391" s="2" t="s">
        <v>7</v>
      </c>
      <c r="F1391" s="1" t="s">
        <v>35</v>
      </c>
      <c r="G1391" s="70">
        <v>16.5</v>
      </c>
      <c r="H1391" s="67">
        <v>7.1000000000000004E-3</v>
      </c>
      <c r="I1391" s="103">
        <v>0.59</v>
      </c>
      <c r="K1391" s="1"/>
      <c r="L1391" s="1"/>
    </row>
    <row r="1392" spans="1:12" s="4" customFormat="1" x14ac:dyDescent="0.2">
      <c r="A1392" s="65">
        <v>156</v>
      </c>
      <c r="B1392" s="66" t="s">
        <v>505</v>
      </c>
      <c r="C1392" s="2" t="s">
        <v>7</v>
      </c>
      <c r="D1392" s="1" t="s">
        <v>20</v>
      </c>
      <c r="E1392" s="2" t="s">
        <v>7</v>
      </c>
      <c r="F1392" s="1" t="s">
        <v>35</v>
      </c>
      <c r="G1392" s="70">
        <v>165</v>
      </c>
      <c r="H1392" s="67">
        <v>9.5999999999999992E-3</v>
      </c>
      <c r="I1392" s="103">
        <v>0.81</v>
      </c>
      <c r="K1392" s="1"/>
      <c r="L1392" s="1"/>
    </row>
    <row r="1393" spans="1:12" s="4" customFormat="1" x14ac:dyDescent="0.2">
      <c r="A1393" s="65">
        <v>156</v>
      </c>
      <c r="B1393" s="66" t="s">
        <v>505</v>
      </c>
      <c r="C1393" s="2" t="s">
        <v>7</v>
      </c>
      <c r="D1393" s="1" t="s">
        <v>20</v>
      </c>
      <c r="E1393" s="2" t="s">
        <v>7</v>
      </c>
      <c r="F1393" s="1" t="s">
        <v>35</v>
      </c>
      <c r="G1393" s="70">
        <v>1650</v>
      </c>
      <c r="H1393" s="67">
        <v>1.14E-2</v>
      </c>
      <c r="I1393" s="103">
        <v>0.96</v>
      </c>
      <c r="K1393" s="1"/>
      <c r="L1393" s="1"/>
    </row>
    <row r="1394" spans="1:12" s="4" customFormat="1" x14ac:dyDescent="0.2">
      <c r="A1394" s="65">
        <v>156</v>
      </c>
      <c r="B1394" s="66" t="s">
        <v>505</v>
      </c>
      <c r="C1394" s="2" t="s">
        <v>7</v>
      </c>
      <c r="D1394" s="1" t="s">
        <v>20</v>
      </c>
      <c r="E1394" s="2" t="s">
        <v>7</v>
      </c>
      <c r="F1394" s="1" t="s">
        <v>35</v>
      </c>
      <c r="G1394" s="70">
        <v>16500</v>
      </c>
      <c r="H1394" s="67">
        <v>1.0699999999999999E-2</v>
      </c>
      <c r="I1394" s="103">
        <v>0.9</v>
      </c>
      <c r="K1394" s="1"/>
      <c r="L1394" s="1"/>
    </row>
    <row r="1395" spans="1:12" x14ac:dyDescent="0.2">
      <c r="A1395" s="65">
        <v>156</v>
      </c>
      <c r="B1395" s="66" t="s">
        <v>258</v>
      </c>
      <c r="C1395" s="2" t="s">
        <v>7</v>
      </c>
      <c r="D1395" s="1" t="s">
        <v>20</v>
      </c>
      <c r="E1395" s="2" t="s">
        <v>7</v>
      </c>
      <c r="F1395" s="1" t="s">
        <v>35</v>
      </c>
      <c r="G1395" s="91">
        <v>0</v>
      </c>
      <c r="H1395" s="67">
        <v>7.1000000000000004E-3</v>
      </c>
      <c r="I1395" s="103">
        <v>1</v>
      </c>
      <c r="J1395" s="1"/>
    </row>
    <row r="1396" spans="1:12" x14ac:dyDescent="0.2">
      <c r="A1396" s="65">
        <v>156</v>
      </c>
      <c r="B1396" s="66" t="s">
        <v>258</v>
      </c>
      <c r="C1396" s="2" t="s">
        <v>7</v>
      </c>
      <c r="D1396" s="1" t="s">
        <v>20</v>
      </c>
      <c r="E1396" s="2" t="s">
        <v>7</v>
      </c>
      <c r="F1396" s="1" t="s">
        <v>35</v>
      </c>
      <c r="G1396" s="91">
        <v>1E-3</v>
      </c>
      <c r="H1396" s="67">
        <v>4.1999999999999997E-3</v>
      </c>
      <c r="I1396" s="103">
        <v>0.61</v>
      </c>
      <c r="J1396" s="1"/>
    </row>
    <row r="1397" spans="1:12" x14ac:dyDescent="0.2">
      <c r="A1397" s="65">
        <v>156</v>
      </c>
      <c r="B1397" s="66" t="s">
        <v>258</v>
      </c>
      <c r="C1397" s="2" t="s">
        <v>7</v>
      </c>
      <c r="D1397" s="1" t="s">
        <v>20</v>
      </c>
      <c r="E1397" s="2" t="s">
        <v>7</v>
      </c>
      <c r="F1397" s="1" t="s">
        <v>35</v>
      </c>
      <c r="G1397" s="91">
        <v>0.01</v>
      </c>
      <c r="H1397" s="67">
        <v>4.1000000000000003E-3</v>
      </c>
      <c r="I1397" s="103">
        <v>0.59</v>
      </c>
      <c r="J1397" s="1"/>
    </row>
    <row r="1398" spans="1:12" x14ac:dyDescent="0.2">
      <c r="A1398" s="65">
        <v>156</v>
      </c>
      <c r="B1398" s="66" t="s">
        <v>258</v>
      </c>
      <c r="C1398" s="2" t="s">
        <v>7</v>
      </c>
      <c r="D1398" s="1" t="s">
        <v>20</v>
      </c>
      <c r="E1398" s="2" t="s">
        <v>7</v>
      </c>
      <c r="F1398" s="1" t="s">
        <v>35</v>
      </c>
      <c r="G1398" s="91">
        <v>0.1</v>
      </c>
      <c r="H1398" s="67">
        <v>4.3E-3</v>
      </c>
      <c r="I1398" s="103">
        <v>0.62</v>
      </c>
      <c r="J1398" s="1"/>
    </row>
    <row r="1399" spans="1:12" x14ac:dyDescent="0.2">
      <c r="A1399" s="65">
        <v>156</v>
      </c>
      <c r="B1399" s="66" t="s">
        <v>258</v>
      </c>
      <c r="C1399" s="2" t="s">
        <v>7</v>
      </c>
      <c r="D1399" s="1" t="s">
        <v>20</v>
      </c>
      <c r="E1399" s="2" t="s">
        <v>7</v>
      </c>
      <c r="F1399" s="1" t="s">
        <v>35</v>
      </c>
      <c r="G1399" s="91">
        <v>1</v>
      </c>
      <c r="H1399" s="67">
        <v>1.2999999999999999E-2</v>
      </c>
      <c r="I1399" s="103">
        <v>1.43</v>
      </c>
      <c r="J1399" s="1"/>
    </row>
    <row r="1400" spans="1:12" x14ac:dyDescent="0.2">
      <c r="A1400" s="65">
        <v>156</v>
      </c>
      <c r="B1400" s="66" t="s">
        <v>258</v>
      </c>
      <c r="C1400" s="2" t="s">
        <v>7</v>
      </c>
      <c r="D1400" s="1" t="s">
        <v>20</v>
      </c>
      <c r="E1400" s="2" t="s">
        <v>7</v>
      </c>
      <c r="F1400" s="1" t="s">
        <v>35</v>
      </c>
      <c r="G1400" s="91">
        <v>10</v>
      </c>
      <c r="H1400" s="67">
        <v>8.0000000000000002E-3</v>
      </c>
      <c r="I1400" s="103">
        <v>0.89</v>
      </c>
      <c r="J1400" s="1"/>
    </row>
    <row r="1401" spans="1:12" x14ac:dyDescent="0.2">
      <c r="A1401" s="65">
        <v>156</v>
      </c>
      <c r="B1401" s="66" t="s">
        <v>509</v>
      </c>
      <c r="C1401" s="2" t="s">
        <v>7</v>
      </c>
      <c r="D1401" s="1" t="s">
        <v>20</v>
      </c>
      <c r="E1401" s="2" t="s">
        <v>7</v>
      </c>
      <c r="F1401" s="1" t="s">
        <v>35</v>
      </c>
      <c r="G1401" s="91">
        <v>0</v>
      </c>
      <c r="H1401" s="67">
        <v>2.5999999999999999E-3</v>
      </c>
      <c r="I1401" s="103">
        <v>1</v>
      </c>
      <c r="J1401" s="1"/>
    </row>
    <row r="1402" spans="1:12" x14ac:dyDescent="0.2">
      <c r="A1402" s="65">
        <v>156</v>
      </c>
      <c r="B1402" s="66" t="s">
        <v>509</v>
      </c>
      <c r="C1402" s="2" t="s">
        <v>7</v>
      </c>
      <c r="D1402" s="1" t="s">
        <v>20</v>
      </c>
      <c r="E1402" s="2" t="s">
        <v>7</v>
      </c>
      <c r="F1402" s="1" t="s">
        <v>35</v>
      </c>
      <c r="G1402" s="91">
        <v>1E-3</v>
      </c>
      <c r="H1402" s="67">
        <v>3.0000000000000001E-3</v>
      </c>
      <c r="I1402" s="103">
        <v>1.1200000000000001</v>
      </c>
      <c r="J1402" s="1"/>
    </row>
    <row r="1403" spans="1:12" x14ac:dyDescent="0.2">
      <c r="A1403" s="65">
        <v>156</v>
      </c>
      <c r="B1403" s="66" t="s">
        <v>509</v>
      </c>
      <c r="C1403" s="2" t="s">
        <v>7</v>
      </c>
      <c r="D1403" s="1" t="s">
        <v>20</v>
      </c>
      <c r="E1403" s="2" t="s">
        <v>7</v>
      </c>
      <c r="F1403" s="1" t="s">
        <v>35</v>
      </c>
      <c r="G1403" s="91">
        <v>0.01</v>
      </c>
      <c r="H1403" s="67">
        <v>4.4999999999999997E-3</v>
      </c>
      <c r="I1403" s="103">
        <v>1.71</v>
      </c>
      <c r="J1403" s="1"/>
    </row>
    <row r="1404" spans="1:12" x14ac:dyDescent="0.2">
      <c r="A1404" s="65">
        <v>156</v>
      </c>
      <c r="B1404" s="66" t="s">
        <v>509</v>
      </c>
      <c r="C1404" s="2" t="s">
        <v>7</v>
      </c>
      <c r="D1404" s="1" t="s">
        <v>20</v>
      </c>
      <c r="E1404" s="2" t="s">
        <v>7</v>
      </c>
      <c r="F1404" s="1" t="s">
        <v>35</v>
      </c>
      <c r="G1404" s="91">
        <v>0.1</v>
      </c>
      <c r="H1404" s="67">
        <v>5.7000000000000002E-3</v>
      </c>
      <c r="I1404" s="103">
        <v>2.1800000000000002</v>
      </c>
      <c r="J1404" s="1"/>
    </row>
    <row r="1405" spans="1:12" x14ac:dyDescent="0.2">
      <c r="A1405" s="65">
        <v>156</v>
      </c>
      <c r="B1405" s="66" t="s">
        <v>509</v>
      </c>
      <c r="C1405" s="2" t="s">
        <v>7</v>
      </c>
      <c r="D1405" s="1" t="s">
        <v>20</v>
      </c>
      <c r="E1405" s="2" t="s">
        <v>7</v>
      </c>
      <c r="F1405" s="1" t="s">
        <v>35</v>
      </c>
      <c r="G1405" s="91">
        <v>1</v>
      </c>
      <c r="H1405" s="67">
        <v>6.7000000000000002E-3</v>
      </c>
      <c r="I1405" s="103">
        <v>2.5499999999999998</v>
      </c>
      <c r="J1405" s="1"/>
    </row>
    <row r="1406" spans="1:12" x14ac:dyDescent="0.2">
      <c r="A1406" s="65">
        <v>156</v>
      </c>
      <c r="B1406" s="66" t="s">
        <v>509</v>
      </c>
      <c r="C1406" s="2" t="s">
        <v>7</v>
      </c>
      <c r="D1406" s="1" t="s">
        <v>20</v>
      </c>
      <c r="E1406" s="2" t="s">
        <v>7</v>
      </c>
      <c r="F1406" s="1" t="s">
        <v>35</v>
      </c>
      <c r="G1406" s="91">
        <v>10</v>
      </c>
      <c r="H1406" s="67">
        <v>2E-3</v>
      </c>
      <c r="I1406" s="103">
        <v>0.76</v>
      </c>
      <c r="J1406" s="1"/>
    </row>
    <row r="1407" spans="1:12" x14ac:dyDescent="0.2">
      <c r="A1407" s="65">
        <v>157</v>
      </c>
      <c r="B1407" s="66" t="s">
        <v>481</v>
      </c>
      <c r="C1407" s="2" t="s">
        <v>7</v>
      </c>
      <c r="D1407" s="1" t="s">
        <v>20</v>
      </c>
      <c r="E1407" s="2" t="s">
        <v>7</v>
      </c>
      <c r="F1407" s="1" t="s">
        <v>35</v>
      </c>
      <c r="G1407" s="70">
        <v>0</v>
      </c>
      <c r="I1407" s="101">
        <v>0.991044776119403</v>
      </c>
    </row>
    <row r="1408" spans="1:12" x14ac:dyDescent="0.2">
      <c r="A1408" s="65">
        <v>157</v>
      </c>
      <c r="B1408" s="66" t="s">
        <v>481</v>
      </c>
      <c r="C1408" s="2" t="s">
        <v>7</v>
      </c>
      <c r="D1408" s="1" t="s">
        <v>20</v>
      </c>
      <c r="E1408" s="2" t="s">
        <v>7</v>
      </c>
      <c r="F1408" s="1" t="s">
        <v>35</v>
      </c>
      <c r="G1408" s="70">
        <v>1E-3</v>
      </c>
      <c r="I1408" s="101">
        <v>1.77910447761194</v>
      </c>
    </row>
    <row r="1409" spans="1:12" x14ac:dyDescent="0.2">
      <c r="A1409" s="65">
        <v>157</v>
      </c>
      <c r="B1409" s="66" t="s">
        <v>481</v>
      </c>
      <c r="C1409" s="2" t="s">
        <v>7</v>
      </c>
      <c r="D1409" s="1" t="s">
        <v>20</v>
      </c>
      <c r="E1409" s="2" t="s">
        <v>7</v>
      </c>
      <c r="F1409" s="1" t="s">
        <v>35</v>
      </c>
      <c r="G1409" s="70">
        <v>0.01</v>
      </c>
      <c r="I1409" s="101">
        <v>1.8985074626865599</v>
      </c>
    </row>
    <row r="1410" spans="1:12" x14ac:dyDescent="0.2">
      <c r="A1410" s="65">
        <v>157</v>
      </c>
      <c r="B1410" s="66" t="s">
        <v>481</v>
      </c>
      <c r="C1410" s="2" t="s">
        <v>7</v>
      </c>
      <c r="D1410" s="1" t="s">
        <v>20</v>
      </c>
      <c r="E1410" s="2" t="s">
        <v>7</v>
      </c>
      <c r="F1410" s="1" t="s">
        <v>35</v>
      </c>
      <c r="G1410" s="70">
        <v>0.1</v>
      </c>
      <c r="I1410" s="101">
        <v>2.9731343283582001</v>
      </c>
    </row>
    <row r="1411" spans="1:12" s="4" customFormat="1" x14ac:dyDescent="0.2">
      <c r="A1411" s="65">
        <v>157</v>
      </c>
      <c r="B1411" s="66" t="s">
        <v>481</v>
      </c>
      <c r="C1411" s="2" t="s">
        <v>7</v>
      </c>
      <c r="D1411" s="1" t="s">
        <v>20</v>
      </c>
      <c r="E1411" s="2" t="s">
        <v>7</v>
      </c>
      <c r="F1411" s="1" t="s">
        <v>35</v>
      </c>
      <c r="G1411" s="70">
        <v>1</v>
      </c>
      <c r="H1411" s="3"/>
      <c r="I1411" s="101">
        <v>2.2865671641790999</v>
      </c>
      <c r="K1411" s="1"/>
      <c r="L1411" s="1"/>
    </row>
    <row r="1412" spans="1:12" s="4" customFormat="1" x14ac:dyDescent="0.2">
      <c r="A1412" s="65">
        <v>157</v>
      </c>
      <c r="B1412" s="66" t="s">
        <v>481</v>
      </c>
      <c r="C1412" s="2" t="s">
        <v>7</v>
      </c>
      <c r="D1412" s="1" t="s">
        <v>20</v>
      </c>
      <c r="E1412" s="2" t="s">
        <v>7</v>
      </c>
      <c r="F1412" s="1" t="s">
        <v>35</v>
      </c>
      <c r="G1412" s="70">
        <v>10</v>
      </c>
      <c r="H1412" s="3"/>
      <c r="I1412" s="101">
        <v>1.8567164179104401</v>
      </c>
      <c r="K1412" s="1"/>
      <c r="L1412" s="1"/>
    </row>
    <row r="1413" spans="1:12" s="4" customFormat="1" x14ac:dyDescent="0.2">
      <c r="A1413" s="65">
        <v>157</v>
      </c>
      <c r="B1413" s="66" t="s">
        <v>482</v>
      </c>
      <c r="C1413" s="2" t="s">
        <v>7</v>
      </c>
      <c r="D1413" s="1" t="s">
        <v>20</v>
      </c>
      <c r="E1413" s="2" t="s">
        <v>7</v>
      </c>
      <c r="F1413" s="1" t="s">
        <v>35</v>
      </c>
      <c r="G1413" s="70">
        <v>0</v>
      </c>
      <c r="H1413" s="3"/>
      <c r="I1413" s="101">
        <v>0.991044776119403</v>
      </c>
      <c r="K1413" s="1"/>
      <c r="L1413" s="1"/>
    </row>
    <row r="1414" spans="1:12" s="4" customFormat="1" x14ac:dyDescent="0.2">
      <c r="A1414" s="65">
        <v>157</v>
      </c>
      <c r="B1414" s="66" t="s">
        <v>482</v>
      </c>
      <c r="C1414" s="2" t="s">
        <v>7</v>
      </c>
      <c r="D1414" s="1" t="s">
        <v>20</v>
      </c>
      <c r="E1414" s="2" t="s">
        <v>7</v>
      </c>
      <c r="F1414" s="1" t="s">
        <v>35</v>
      </c>
      <c r="G1414" s="70">
        <v>1E-3</v>
      </c>
      <c r="H1414" s="3"/>
      <c r="I1414" s="101">
        <v>2.2507462686567101</v>
      </c>
      <c r="K1414" s="1"/>
      <c r="L1414" s="1"/>
    </row>
    <row r="1415" spans="1:12" s="4" customFormat="1" x14ac:dyDescent="0.2">
      <c r="A1415" s="65">
        <v>157</v>
      </c>
      <c r="B1415" s="66" t="s">
        <v>482</v>
      </c>
      <c r="C1415" s="2" t="s">
        <v>7</v>
      </c>
      <c r="D1415" s="1" t="s">
        <v>20</v>
      </c>
      <c r="E1415" s="2" t="s">
        <v>7</v>
      </c>
      <c r="F1415" s="1" t="s">
        <v>35</v>
      </c>
      <c r="G1415" s="70">
        <v>0.01</v>
      </c>
      <c r="H1415" s="3"/>
      <c r="I1415" s="101">
        <v>2.7582089552238802</v>
      </c>
      <c r="K1415" s="1"/>
      <c r="L1415" s="1"/>
    </row>
    <row r="1416" spans="1:12" s="4" customFormat="1" x14ac:dyDescent="0.2">
      <c r="A1416" s="65">
        <v>157</v>
      </c>
      <c r="B1416" s="66" t="s">
        <v>482</v>
      </c>
      <c r="C1416" s="2" t="s">
        <v>7</v>
      </c>
      <c r="D1416" s="1" t="s">
        <v>20</v>
      </c>
      <c r="E1416" s="2" t="s">
        <v>7</v>
      </c>
      <c r="F1416" s="1" t="s">
        <v>35</v>
      </c>
      <c r="G1416" s="70">
        <v>0.1</v>
      </c>
      <c r="H1416" s="3"/>
      <c r="I1416" s="101">
        <v>2.1791044776119399</v>
      </c>
      <c r="K1416" s="1"/>
      <c r="L1416" s="1"/>
    </row>
    <row r="1417" spans="1:12" s="4" customFormat="1" x14ac:dyDescent="0.2">
      <c r="A1417" s="65">
        <v>157</v>
      </c>
      <c r="B1417" s="66" t="s">
        <v>482</v>
      </c>
      <c r="C1417" s="2" t="s">
        <v>7</v>
      </c>
      <c r="D1417" s="1" t="s">
        <v>20</v>
      </c>
      <c r="E1417" s="2" t="s">
        <v>7</v>
      </c>
      <c r="F1417" s="1" t="s">
        <v>35</v>
      </c>
      <c r="G1417" s="70">
        <v>1</v>
      </c>
      <c r="H1417" s="3"/>
      <c r="I1417" s="101">
        <v>2.3343283582089498</v>
      </c>
      <c r="K1417" s="1"/>
      <c r="L1417" s="1"/>
    </row>
    <row r="1418" spans="1:12" s="4" customFormat="1" x14ac:dyDescent="0.2">
      <c r="A1418" s="65">
        <v>157</v>
      </c>
      <c r="B1418" s="66" t="s">
        <v>482</v>
      </c>
      <c r="C1418" s="2" t="s">
        <v>7</v>
      </c>
      <c r="D1418" s="1" t="s">
        <v>20</v>
      </c>
      <c r="E1418" s="2" t="s">
        <v>7</v>
      </c>
      <c r="F1418" s="1" t="s">
        <v>35</v>
      </c>
      <c r="G1418" s="70">
        <v>10</v>
      </c>
      <c r="H1418" s="3"/>
      <c r="I1418" s="101">
        <v>1.54029850746268</v>
      </c>
      <c r="K1418" s="1"/>
      <c r="L1418" s="1"/>
    </row>
    <row r="1419" spans="1:12" s="4" customFormat="1" x14ac:dyDescent="0.2">
      <c r="A1419" s="65">
        <v>157</v>
      </c>
      <c r="B1419" s="66" t="s">
        <v>483</v>
      </c>
      <c r="C1419" s="2" t="s">
        <v>7</v>
      </c>
      <c r="D1419" s="1" t="s">
        <v>20</v>
      </c>
      <c r="E1419" s="2" t="s">
        <v>7</v>
      </c>
      <c r="F1419" s="1" t="s">
        <v>35</v>
      </c>
      <c r="G1419" s="70">
        <v>0</v>
      </c>
      <c r="H1419" s="3"/>
      <c r="I1419" s="101">
        <v>1</v>
      </c>
      <c r="K1419" s="1"/>
      <c r="L1419" s="1"/>
    </row>
    <row r="1420" spans="1:12" s="4" customFormat="1" x14ac:dyDescent="0.2">
      <c r="A1420" s="65">
        <v>157</v>
      </c>
      <c r="B1420" s="66" t="s">
        <v>483</v>
      </c>
      <c r="C1420" s="2" t="s">
        <v>7</v>
      </c>
      <c r="D1420" s="1" t="s">
        <v>20</v>
      </c>
      <c r="E1420" s="2" t="s">
        <v>7</v>
      </c>
      <c r="F1420" s="1" t="s">
        <v>35</v>
      </c>
      <c r="G1420" s="70">
        <v>1E-3</v>
      </c>
      <c r="H1420" s="3"/>
      <c r="I1420" s="101">
        <v>1.27380952380952</v>
      </c>
      <c r="K1420" s="1"/>
      <c r="L1420" s="1"/>
    </row>
    <row r="1421" spans="1:12" s="4" customFormat="1" x14ac:dyDescent="0.2">
      <c r="A1421" s="65">
        <v>157</v>
      </c>
      <c r="B1421" s="66" t="s">
        <v>483</v>
      </c>
      <c r="C1421" s="2" t="s">
        <v>7</v>
      </c>
      <c r="D1421" s="1" t="s">
        <v>20</v>
      </c>
      <c r="E1421" s="2" t="s">
        <v>7</v>
      </c>
      <c r="F1421" s="1" t="s">
        <v>35</v>
      </c>
      <c r="G1421" s="70">
        <v>0.01</v>
      </c>
      <c r="H1421" s="3"/>
      <c r="I1421" s="101">
        <v>1.31547619047619</v>
      </c>
      <c r="K1421" s="1"/>
      <c r="L1421" s="1"/>
    </row>
    <row r="1422" spans="1:12" s="4" customFormat="1" x14ac:dyDescent="0.2">
      <c r="A1422" s="65">
        <v>157</v>
      </c>
      <c r="B1422" s="66" t="s">
        <v>483</v>
      </c>
      <c r="C1422" s="2" t="s">
        <v>7</v>
      </c>
      <c r="D1422" s="1" t="s">
        <v>20</v>
      </c>
      <c r="E1422" s="2" t="s">
        <v>7</v>
      </c>
      <c r="F1422" s="1" t="s">
        <v>35</v>
      </c>
      <c r="G1422" s="70">
        <v>0.1</v>
      </c>
      <c r="H1422" s="3"/>
      <c r="I1422" s="101">
        <v>1.2380952380952299</v>
      </c>
      <c r="K1422" s="1"/>
      <c r="L1422" s="1"/>
    </row>
    <row r="1423" spans="1:12" s="4" customFormat="1" x14ac:dyDescent="0.2">
      <c r="A1423" s="65">
        <v>157</v>
      </c>
      <c r="B1423" s="66" t="s">
        <v>483</v>
      </c>
      <c r="C1423" s="2" t="s">
        <v>7</v>
      </c>
      <c r="D1423" s="1" t="s">
        <v>20</v>
      </c>
      <c r="E1423" s="2" t="s">
        <v>7</v>
      </c>
      <c r="F1423" s="1" t="s">
        <v>35</v>
      </c>
      <c r="G1423" s="70">
        <v>1</v>
      </c>
      <c r="H1423" s="3"/>
      <c r="I1423" s="101">
        <v>1.08928571428571</v>
      </c>
      <c r="K1423" s="1"/>
      <c r="L1423" s="1"/>
    </row>
    <row r="1424" spans="1:12" s="4" customFormat="1" x14ac:dyDescent="0.2">
      <c r="A1424" s="65">
        <v>157</v>
      </c>
      <c r="B1424" s="66" t="s">
        <v>483</v>
      </c>
      <c r="C1424" s="2" t="s">
        <v>7</v>
      </c>
      <c r="D1424" s="1" t="s">
        <v>20</v>
      </c>
      <c r="E1424" s="2" t="s">
        <v>7</v>
      </c>
      <c r="F1424" s="1" t="s">
        <v>35</v>
      </c>
      <c r="G1424" s="70">
        <v>10</v>
      </c>
      <c r="H1424" s="3"/>
      <c r="I1424" s="101">
        <v>0.827380952380952</v>
      </c>
      <c r="K1424" s="1"/>
      <c r="L1424" s="1"/>
    </row>
    <row r="1425" spans="1:12" s="4" customFormat="1" x14ac:dyDescent="0.2">
      <c r="A1425" s="65">
        <v>157</v>
      </c>
      <c r="B1425" s="66" t="s">
        <v>484</v>
      </c>
      <c r="C1425" s="2" t="s">
        <v>7</v>
      </c>
      <c r="D1425" s="1" t="s">
        <v>20</v>
      </c>
      <c r="E1425" s="2" t="s">
        <v>7</v>
      </c>
      <c r="F1425" s="1" t="s">
        <v>35</v>
      </c>
      <c r="G1425" s="70">
        <v>0</v>
      </c>
      <c r="H1425" s="3"/>
      <c r="I1425" s="101">
        <v>1.00444444444444</v>
      </c>
      <c r="K1425" s="1"/>
      <c r="L1425" s="1"/>
    </row>
    <row r="1426" spans="1:12" s="4" customFormat="1" x14ac:dyDescent="0.2">
      <c r="A1426" s="65">
        <v>157</v>
      </c>
      <c r="B1426" s="66" t="s">
        <v>484</v>
      </c>
      <c r="C1426" s="2" t="s">
        <v>7</v>
      </c>
      <c r="D1426" s="1" t="s">
        <v>20</v>
      </c>
      <c r="E1426" s="2" t="s">
        <v>7</v>
      </c>
      <c r="F1426" s="1" t="s">
        <v>35</v>
      </c>
      <c r="G1426" s="70">
        <v>1E-3</v>
      </c>
      <c r="H1426" s="3"/>
      <c r="I1426" s="101">
        <v>1.03111111111111</v>
      </c>
      <c r="K1426" s="1"/>
      <c r="L1426" s="1"/>
    </row>
    <row r="1427" spans="1:12" s="4" customFormat="1" x14ac:dyDescent="0.2">
      <c r="A1427" s="65">
        <v>157</v>
      </c>
      <c r="B1427" s="66" t="s">
        <v>484</v>
      </c>
      <c r="C1427" s="2" t="s">
        <v>7</v>
      </c>
      <c r="D1427" s="1" t="s">
        <v>20</v>
      </c>
      <c r="E1427" s="2" t="s">
        <v>7</v>
      </c>
      <c r="F1427" s="1" t="s">
        <v>35</v>
      </c>
      <c r="G1427" s="70">
        <v>0.01</v>
      </c>
      <c r="H1427" s="3"/>
      <c r="I1427" s="101">
        <v>0.82666666666666699</v>
      </c>
      <c r="K1427" s="1"/>
      <c r="L1427" s="1"/>
    </row>
    <row r="1428" spans="1:12" s="4" customFormat="1" x14ac:dyDescent="0.2">
      <c r="A1428" s="65">
        <v>157</v>
      </c>
      <c r="B1428" s="66" t="s">
        <v>484</v>
      </c>
      <c r="C1428" s="2" t="s">
        <v>7</v>
      </c>
      <c r="D1428" s="1" t="s">
        <v>20</v>
      </c>
      <c r="E1428" s="2" t="s">
        <v>7</v>
      </c>
      <c r="F1428" s="1" t="s">
        <v>35</v>
      </c>
      <c r="G1428" s="70">
        <v>0.1</v>
      </c>
      <c r="H1428" s="3"/>
      <c r="I1428" s="101">
        <v>1.07555555555555</v>
      </c>
      <c r="K1428" s="1"/>
      <c r="L1428" s="1"/>
    </row>
    <row r="1429" spans="1:12" s="4" customFormat="1" x14ac:dyDescent="0.2">
      <c r="A1429" s="65">
        <v>157</v>
      </c>
      <c r="B1429" s="66" t="s">
        <v>484</v>
      </c>
      <c r="C1429" s="2" t="s">
        <v>7</v>
      </c>
      <c r="D1429" s="1" t="s">
        <v>20</v>
      </c>
      <c r="E1429" s="2" t="s">
        <v>7</v>
      </c>
      <c r="F1429" s="1" t="s">
        <v>35</v>
      </c>
      <c r="G1429" s="70">
        <v>1</v>
      </c>
      <c r="H1429" s="3"/>
      <c r="I1429" s="101">
        <v>1.1288888888888799</v>
      </c>
      <c r="K1429" s="1"/>
      <c r="L1429" s="1"/>
    </row>
    <row r="1430" spans="1:12" s="4" customFormat="1" x14ac:dyDescent="0.2">
      <c r="A1430" s="65">
        <v>157</v>
      </c>
      <c r="B1430" s="66" t="s">
        <v>484</v>
      </c>
      <c r="C1430" s="2" t="s">
        <v>7</v>
      </c>
      <c r="D1430" s="1" t="s">
        <v>20</v>
      </c>
      <c r="E1430" s="2" t="s">
        <v>7</v>
      </c>
      <c r="F1430" s="1" t="s">
        <v>35</v>
      </c>
      <c r="G1430" s="70">
        <v>10</v>
      </c>
      <c r="H1430" s="3"/>
      <c r="I1430" s="101">
        <v>1.2311111111111099</v>
      </c>
      <c r="K1430" s="1"/>
      <c r="L1430" s="1"/>
    </row>
    <row r="1431" spans="1:12" s="4" customFormat="1" x14ac:dyDescent="0.2">
      <c r="A1431" s="65">
        <v>157</v>
      </c>
      <c r="B1431" s="66" t="s">
        <v>485</v>
      </c>
      <c r="C1431" s="2" t="s">
        <v>7</v>
      </c>
      <c r="D1431" s="1" t="s">
        <v>20</v>
      </c>
      <c r="E1431" s="2" t="s">
        <v>7</v>
      </c>
      <c r="F1431" s="1" t="s">
        <v>35</v>
      </c>
      <c r="G1431" s="70">
        <v>0</v>
      </c>
      <c r="H1431" s="3"/>
      <c r="I1431" s="101">
        <v>1</v>
      </c>
      <c r="K1431" s="1"/>
      <c r="L1431" s="1"/>
    </row>
    <row r="1432" spans="1:12" s="4" customFormat="1" x14ac:dyDescent="0.2">
      <c r="A1432" s="65">
        <v>157</v>
      </c>
      <c r="B1432" s="66" t="s">
        <v>485</v>
      </c>
      <c r="C1432" s="2" t="s">
        <v>7</v>
      </c>
      <c r="D1432" s="1" t="s">
        <v>20</v>
      </c>
      <c r="E1432" s="2" t="s">
        <v>7</v>
      </c>
      <c r="F1432" s="1" t="s">
        <v>35</v>
      </c>
      <c r="G1432" s="70">
        <v>1E-3</v>
      </c>
      <c r="H1432" s="3"/>
      <c r="I1432" s="101">
        <v>0.87387387387387305</v>
      </c>
      <c r="K1432" s="1"/>
      <c r="L1432" s="1"/>
    </row>
    <row r="1433" spans="1:12" s="4" customFormat="1" x14ac:dyDescent="0.2">
      <c r="A1433" s="65">
        <v>157</v>
      </c>
      <c r="B1433" s="66" t="s">
        <v>485</v>
      </c>
      <c r="C1433" s="2" t="s">
        <v>7</v>
      </c>
      <c r="D1433" s="1" t="s">
        <v>20</v>
      </c>
      <c r="E1433" s="2" t="s">
        <v>7</v>
      </c>
      <c r="F1433" s="1" t="s">
        <v>35</v>
      </c>
      <c r="G1433" s="70">
        <v>0.01</v>
      </c>
      <c r="H1433" s="3"/>
      <c r="I1433" s="101">
        <v>0.86486486486486402</v>
      </c>
      <c r="K1433" s="1"/>
      <c r="L1433" s="1"/>
    </row>
    <row r="1434" spans="1:12" s="4" customFormat="1" x14ac:dyDescent="0.2">
      <c r="A1434" s="65">
        <v>157</v>
      </c>
      <c r="B1434" s="66" t="s">
        <v>485</v>
      </c>
      <c r="C1434" s="2" t="s">
        <v>7</v>
      </c>
      <c r="D1434" s="1" t="s">
        <v>20</v>
      </c>
      <c r="E1434" s="2" t="s">
        <v>7</v>
      </c>
      <c r="F1434" s="1" t="s">
        <v>35</v>
      </c>
      <c r="G1434" s="70">
        <v>0.1</v>
      </c>
      <c r="H1434" s="3"/>
      <c r="I1434" s="101">
        <v>1.11486486486486</v>
      </c>
      <c r="K1434" s="1"/>
      <c r="L1434" s="1"/>
    </row>
    <row r="1435" spans="1:12" s="4" customFormat="1" x14ac:dyDescent="0.2">
      <c r="A1435" s="65">
        <v>157</v>
      </c>
      <c r="B1435" s="66" t="s">
        <v>485</v>
      </c>
      <c r="C1435" s="2" t="s">
        <v>7</v>
      </c>
      <c r="D1435" s="1" t="s">
        <v>20</v>
      </c>
      <c r="E1435" s="2" t="s">
        <v>7</v>
      </c>
      <c r="F1435" s="1" t="s">
        <v>35</v>
      </c>
      <c r="G1435" s="70">
        <v>1</v>
      </c>
      <c r="H1435" s="3"/>
      <c r="I1435" s="101">
        <v>1.3198198198198099</v>
      </c>
      <c r="K1435" s="1"/>
      <c r="L1435" s="1"/>
    </row>
    <row r="1436" spans="1:12" s="4" customFormat="1" x14ac:dyDescent="0.2">
      <c r="A1436" s="65">
        <v>157</v>
      </c>
      <c r="B1436" s="66" t="s">
        <v>485</v>
      </c>
      <c r="C1436" s="2" t="s">
        <v>7</v>
      </c>
      <c r="D1436" s="1" t="s">
        <v>20</v>
      </c>
      <c r="E1436" s="2" t="s">
        <v>7</v>
      </c>
      <c r="F1436" s="1" t="s">
        <v>35</v>
      </c>
      <c r="G1436" s="70">
        <v>10</v>
      </c>
      <c r="H1436" s="3"/>
      <c r="I1436" s="101">
        <v>1.0698198198198099</v>
      </c>
      <c r="K1436" s="1"/>
      <c r="L1436" s="1"/>
    </row>
    <row r="1437" spans="1:12" s="4" customFormat="1" x14ac:dyDescent="0.2">
      <c r="A1437" s="65">
        <v>157</v>
      </c>
      <c r="B1437" s="66" t="s">
        <v>486</v>
      </c>
      <c r="C1437" s="2" t="s">
        <v>7</v>
      </c>
      <c r="D1437" s="1" t="s">
        <v>20</v>
      </c>
      <c r="E1437" s="2" t="s">
        <v>7</v>
      </c>
      <c r="F1437" s="1" t="s">
        <v>35</v>
      </c>
      <c r="G1437" s="70">
        <v>0</v>
      </c>
      <c r="H1437" s="3"/>
      <c r="I1437" s="101">
        <v>1</v>
      </c>
      <c r="K1437" s="1"/>
      <c r="L1437" s="1"/>
    </row>
    <row r="1438" spans="1:12" s="4" customFormat="1" x14ac:dyDescent="0.2">
      <c r="A1438" s="65">
        <v>157</v>
      </c>
      <c r="B1438" s="66" t="s">
        <v>486</v>
      </c>
      <c r="C1438" s="2" t="s">
        <v>7</v>
      </c>
      <c r="D1438" s="1" t="s">
        <v>20</v>
      </c>
      <c r="E1438" s="2" t="s">
        <v>7</v>
      </c>
      <c r="F1438" s="1" t="s">
        <v>35</v>
      </c>
      <c r="G1438" s="70">
        <v>1E-3</v>
      </c>
      <c r="H1438" s="3"/>
      <c r="I1438" s="101">
        <v>1.0900900900900901</v>
      </c>
      <c r="K1438" s="1"/>
      <c r="L1438" s="1"/>
    </row>
    <row r="1439" spans="1:12" s="4" customFormat="1" x14ac:dyDescent="0.2">
      <c r="A1439" s="65">
        <v>157</v>
      </c>
      <c r="B1439" s="66" t="s">
        <v>486</v>
      </c>
      <c r="C1439" s="2" t="s">
        <v>7</v>
      </c>
      <c r="D1439" s="1" t="s">
        <v>20</v>
      </c>
      <c r="E1439" s="2" t="s">
        <v>7</v>
      </c>
      <c r="F1439" s="1" t="s">
        <v>35</v>
      </c>
      <c r="G1439" s="70">
        <v>0.01</v>
      </c>
      <c r="H1439" s="3"/>
      <c r="I1439" s="101">
        <v>1.19819819819819</v>
      </c>
      <c r="K1439" s="1"/>
      <c r="L1439" s="1"/>
    </row>
    <row r="1440" spans="1:12" s="4" customFormat="1" x14ac:dyDescent="0.2">
      <c r="A1440" s="65">
        <v>157</v>
      </c>
      <c r="B1440" s="66" t="s">
        <v>486</v>
      </c>
      <c r="C1440" s="2" t="s">
        <v>7</v>
      </c>
      <c r="D1440" s="1" t="s">
        <v>20</v>
      </c>
      <c r="E1440" s="2" t="s">
        <v>7</v>
      </c>
      <c r="F1440" s="1" t="s">
        <v>35</v>
      </c>
      <c r="G1440" s="70">
        <v>0.1</v>
      </c>
      <c r="H1440" s="3"/>
      <c r="I1440" s="101">
        <v>1.08108108108108</v>
      </c>
      <c r="K1440" s="1"/>
      <c r="L1440" s="1"/>
    </row>
    <row r="1441" spans="1:12" s="4" customFormat="1" x14ac:dyDescent="0.2">
      <c r="A1441" s="65">
        <v>157</v>
      </c>
      <c r="B1441" s="66" t="s">
        <v>486</v>
      </c>
      <c r="C1441" s="2" t="s">
        <v>7</v>
      </c>
      <c r="D1441" s="1" t="s">
        <v>20</v>
      </c>
      <c r="E1441" s="2" t="s">
        <v>7</v>
      </c>
      <c r="F1441" s="1" t="s">
        <v>35</v>
      </c>
      <c r="G1441" s="70">
        <v>1</v>
      </c>
      <c r="H1441" s="3"/>
      <c r="I1441" s="101">
        <v>0.891891891891891</v>
      </c>
      <c r="K1441" s="1"/>
      <c r="L1441" s="1"/>
    </row>
    <row r="1442" spans="1:12" s="4" customFormat="1" x14ac:dyDescent="0.2">
      <c r="A1442" s="65">
        <v>157</v>
      </c>
      <c r="B1442" s="66" t="s">
        <v>486</v>
      </c>
      <c r="C1442" s="2" t="s">
        <v>7</v>
      </c>
      <c r="D1442" s="1" t="s">
        <v>20</v>
      </c>
      <c r="E1442" s="2" t="s">
        <v>7</v>
      </c>
      <c r="F1442" s="1" t="s">
        <v>35</v>
      </c>
      <c r="G1442" s="70">
        <v>10</v>
      </c>
      <c r="H1442" s="3"/>
      <c r="I1442" s="101">
        <v>0.94819819819819795</v>
      </c>
      <c r="K1442" s="1"/>
      <c r="L1442" s="1"/>
    </row>
    <row r="1443" spans="1:12" x14ac:dyDescent="0.2">
      <c r="A1443" s="65">
        <v>146</v>
      </c>
      <c r="B1443" s="6" t="s">
        <v>449</v>
      </c>
      <c r="C1443" s="2" t="s">
        <v>7</v>
      </c>
      <c r="D1443" s="1" t="s">
        <v>8</v>
      </c>
      <c r="E1443" s="2" t="s">
        <v>7</v>
      </c>
      <c r="F1443" s="1" t="s">
        <v>67</v>
      </c>
      <c r="G1443" s="70">
        <v>0</v>
      </c>
      <c r="I1443" s="101">
        <v>0.99947807933193999</v>
      </c>
    </row>
    <row r="1444" spans="1:12" x14ac:dyDescent="0.2">
      <c r="A1444" s="65">
        <v>146</v>
      </c>
      <c r="B1444" s="6" t="s">
        <v>449</v>
      </c>
      <c r="C1444" s="2" t="s">
        <v>7</v>
      </c>
      <c r="D1444" s="1" t="s">
        <v>8</v>
      </c>
      <c r="E1444" s="2" t="s">
        <v>7</v>
      </c>
      <c r="F1444" s="1" t="s">
        <v>67</v>
      </c>
      <c r="G1444" s="70">
        <v>0.01</v>
      </c>
      <c r="I1444" s="101">
        <v>1.2630480167014499</v>
      </c>
    </row>
    <row r="1445" spans="1:12" x14ac:dyDescent="0.2">
      <c r="A1445" s="65">
        <v>146</v>
      </c>
      <c r="B1445" s="6" t="s">
        <v>449</v>
      </c>
      <c r="C1445" s="2" t="s">
        <v>7</v>
      </c>
      <c r="D1445" s="1" t="s">
        <v>8</v>
      </c>
      <c r="E1445" s="2" t="s">
        <v>7</v>
      </c>
      <c r="F1445" s="1" t="s">
        <v>67</v>
      </c>
      <c r="G1445" s="70">
        <v>0.1</v>
      </c>
      <c r="I1445" s="101">
        <v>1.6153444676409101</v>
      </c>
    </row>
    <row r="1446" spans="1:12" x14ac:dyDescent="0.2">
      <c r="A1446" s="65">
        <v>146</v>
      </c>
      <c r="B1446" s="73" t="s">
        <v>513</v>
      </c>
      <c r="C1446" s="2" t="s">
        <v>7</v>
      </c>
      <c r="D1446" s="1" t="s">
        <v>8</v>
      </c>
      <c r="E1446" s="2" t="s">
        <v>7</v>
      </c>
      <c r="F1446" s="1" t="s">
        <v>67</v>
      </c>
      <c r="G1446" s="70">
        <v>0</v>
      </c>
      <c r="I1446" s="101">
        <v>0.999478079331939</v>
      </c>
    </row>
    <row r="1447" spans="1:12" x14ac:dyDescent="0.2">
      <c r="A1447" s="65">
        <v>146</v>
      </c>
      <c r="B1447" s="73" t="s">
        <v>513</v>
      </c>
      <c r="C1447" s="2" t="s">
        <v>7</v>
      </c>
      <c r="D1447" s="1" t="s">
        <v>8</v>
      </c>
      <c r="E1447" s="2" t="s">
        <v>7</v>
      </c>
      <c r="F1447" s="1" t="s">
        <v>67</v>
      </c>
      <c r="G1447" s="70">
        <v>0.01</v>
      </c>
      <c r="I1447" s="101">
        <v>1.1508350730688901</v>
      </c>
    </row>
    <row r="1448" spans="1:12" x14ac:dyDescent="0.2">
      <c r="A1448" s="65">
        <v>146</v>
      </c>
      <c r="B1448" s="73" t="s">
        <v>513</v>
      </c>
      <c r="C1448" s="2" t="s">
        <v>7</v>
      </c>
      <c r="D1448" s="1" t="s">
        <v>8</v>
      </c>
      <c r="E1448" s="2" t="s">
        <v>7</v>
      </c>
      <c r="F1448" s="1" t="s">
        <v>67</v>
      </c>
      <c r="G1448" s="70">
        <v>0.1</v>
      </c>
      <c r="I1448" s="101">
        <v>1.5422755741127301</v>
      </c>
    </row>
    <row r="1449" spans="1:12" x14ac:dyDescent="0.2">
      <c r="A1449" s="65">
        <v>158</v>
      </c>
      <c r="B1449" s="66" t="s">
        <v>352</v>
      </c>
      <c r="C1449" s="2" t="s">
        <v>7</v>
      </c>
      <c r="D1449" s="1" t="s">
        <v>8</v>
      </c>
      <c r="E1449" s="2" t="s">
        <v>7</v>
      </c>
      <c r="F1449" s="1" t="s">
        <v>67</v>
      </c>
      <c r="G1449" s="70">
        <v>0</v>
      </c>
      <c r="H1449" s="3">
        <v>2.62138429752067E-6</v>
      </c>
      <c r="I1449" s="101">
        <f>H1449/$H$1449</f>
        <v>1</v>
      </c>
    </row>
    <row r="1450" spans="1:12" x14ac:dyDescent="0.2">
      <c r="A1450" s="65">
        <v>158</v>
      </c>
      <c r="B1450" s="66" t="s">
        <v>352</v>
      </c>
      <c r="C1450" s="2" t="s">
        <v>7</v>
      </c>
      <c r="D1450" s="1" t="s">
        <v>8</v>
      </c>
      <c r="E1450" s="2" t="s">
        <v>7</v>
      </c>
      <c r="F1450" s="1" t="s">
        <v>67</v>
      </c>
      <c r="G1450" s="70">
        <v>0.1</v>
      </c>
      <c r="H1450" s="3">
        <v>3.0191115702479298E-6</v>
      </c>
      <c r="I1450" s="101">
        <f t="shared" ref="I1450:I1454" si="46">H1450/$H$1449</f>
        <v>1.151724137931029</v>
      </c>
    </row>
    <row r="1451" spans="1:12" x14ac:dyDescent="0.2">
      <c r="A1451" s="65">
        <v>158</v>
      </c>
      <c r="B1451" s="66" t="s">
        <v>352</v>
      </c>
      <c r="C1451" s="2" t="s">
        <v>7</v>
      </c>
      <c r="D1451" s="1" t="s">
        <v>8</v>
      </c>
      <c r="E1451" s="2" t="s">
        <v>7</v>
      </c>
      <c r="F1451" s="1" t="s">
        <v>67</v>
      </c>
      <c r="G1451" s="70">
        <v>1</v>
      </c>
      <c r="H1451" s="3">
        <v>1.02324380165289E-5</v>
      </c>
      <c r="I1451" s="101">
        <f t="shared" si="46"/>
        <v>3.9034482758620461</v>
      </c>
    </row>
    <row r="1452" spans="1:12" x14ac:dyDescent="0.2">
      <c r="A1452" s="65">
        <v>158</v>
      </c>
      <c r="B1452" s="66" t="s">
        <v>352</v>
      </c>
      <c r="C1452" s="2" t="s">
        <v>7</v>
      </c>
      <c r="D1452" s="1" t="s">
        <v>8</v>
      </c>
      <c r="E1452" s="2" t="s">
        <v>7</v>
      </c>
      <c r="F1452" s="1" t="s">
        <v>67</v>
      </c>
      <c r="G1452" s="70">
        <v>10</v>
      </c>
      <c r="H1452" s="3">
        <v>1.8422004132231399E-5</v>
      </c>
      <c r="I1452" s="101">
        <f t="shared" si="46"/>
        <v>7.027586206896526</v>
      </c>
    </row>
    <row r="1453" spans="1:12" x14ac:dyDescent="0.2">
      <c r="A1453" s="65">
        <v>158</v>
      </c>
      <c r="B1453" s="66" t="s">
        <v>352</v>
      </c>
      <c r="C1453" s="2" t="s">
        <v>7</v>
      </c>
      <c r="D1453" s="1" t="s">
        <v>8</v>
      </c>
      <c r="E1453" s="2" t="s">
        <v>7</v>
      </c>
      <c r="F1453" s="1" t="s">
        <v>67</v>
      </c>
      <c r="G1453" s="70">
        <v>50</v>
      </c>
      <c r="H1453" s="3">
        <v>3.1763946280991703E-5</v>
      </c>
      <c r="I1453" s="101">
        <f t="shared" si="46"/>
        <v>12.117241379310292</v>
      </c>
    </row>
    <row r="1454" spans="1:12" x14ac:dyDescent="0.2">
      <c r="A1454" s="65">
        <v>158</v>
      </c>
      <c r="B1454" s="66" t="s">
        <v>352</v>
      </c>
      <c r="C1454" s="2" t="s">
        <v>7</v>
      </c>
      <c r="D1454" s="1" t="s">
        <v>8</v>
      </c>
      <c r="E1454" s="2" t="s">
        <v>7</v>
      </c>
      <c r="F1454" s="1" t="s">
        <v>67</v>
      </c>
      <c r="G1454" s="70">
        <v>100</v>
      </c>
      <c r="H1454" s="3">
        <v>1.20222107438016E-5</v>
      </c>
      <c r="I1454" s="101">
        <f t="shared" si="46"/>
        <v>4.5862068965516887</v>
      </c>
    </row>
    <row r="1455" spans="1:12" x14ac:dyDescent="0.2">
      <c r="A1455" s="65">
        <v>159</v>
      </c>
      <c r="B1455" s="94" t="s">
        <v>382</v>
      </c>
      <c r="C1455" s="2" t="s">
        <v>7</v>
      </c>
      <c r="D1455" s="1" t="s">
        <v>8</v>
      </c>
      <c r="E1455" s="2" t="s">
        <v>7</v>
      </c>
      <c r="F1455" s="1" t="s">
        <v>67</v>
      </c>
      <c r="G1455" s="70">
        <v>0</v>
      </c>
      <c r="I1455" s="101">
        <v>1.0020779220779199</v>
      </c>
    </row>
    <row r="1456" spans="1:12" x14ac:dyDescent="0.2">
      <c r="A1456" s="65">
        <v>159</v>
      </c>
      <c r="B1456" s="94" t="s">
        <v>382</v>
      </c>
      <c r="C1456" s="2" t="s">
        <v>7</v>
      </c>
      <c r="D1456" s="1" t="s">
        <v>8</v>
      </c>
      <c r="E1456" s="2" t="s">
        <v>7</v>
      </c>
      <c r="F1456" s="1" t="s">
        <v>67</v>
      </c>
      <c r="G1456" s="70">
        <v>0.1</v>
      </c>
      <c r="I1456" s="101">
        <v>1.48831168831168</v>
      </c>
    </row>
    <row r="1457" spans="1:9" x14ac:dyDescent="0.2">
      <c r="A1457" s="65">
        <v>159</v>
      </c>
      <c r="B1457" s="94" t="s">
        <v>382</v>
      </c>
      <c r="C1457" s="2" t="s">
        <v>7</v>
      </c>
      <c r="D1457" s="1" t="s">
        <v>8</v>
      </c>
      <c r="E1457" s="2" t="s">
        <v>7</v>
      </c>
      <c r="F1457" s="1" t="s">
        <v>67</v>
      </c>
      <c r="G1457" s="70">
        <v>1</v>
      </c>
      <c r="I1457" s="101">
        <v>1.6612987012986999</v>
      </c>
    </row>
    <row r="1458" spans="1:9" x14ac:dyDescent="0.2">
      <c r="A1458" s="65">
        <v>159</v>
      </c>
      <c r="B1458" s="94" t="s">
        <v>382</v>
      </c>
      <c r="C1458" s="2" t="s">
        <v>7</v>
      </c>
      <c r="D1458" s="1" t="s">
        <v>8</v>
      </c>
      <c r="E1458" s="2" t="s">
        <v>7</v>
      </c>
      <c r="F1458" s="1" t="s">
        <v>67</v>
      </c>
      <c r="G1458" s="70">
        <v>10</v>
      </c>
      <c r="I1458" s="101">
        <v>2.21142857142857</v>
      </c>
    </row>
  </sheetData>
  <conditionalFormatting sqref="H712:H723">
    <cfRule type="colorScale" priority="9">
      <colorScale>
        <cfvo type="min"/>
        <cfvo type="percentile" val="50"/>
        <cfvo type="num" val="10"/>
        <color rgb="FF63BE7B"/>
        <color rgb="FFFCFCFF"/>
        <color rgb="FFF8696B"/>
      </colorScale>
    </cfRule>
    <cfRule type="colorScale" priority="10">
      <colorScale>
        <cfvo type="min"/>
        <cfvo type="max"/>
        <color rgb="FFFCFCFF"/>
        <color rgb="FFF8696B"/>
      </colorScale>
    </cfRule>
  </conditionalFormatting>
  <conditionalFormatting sqref="H930:H959">
    <cfRule type="colorScale" priority="7">
      <colorScale>
        <cfvo type="min"/>
        <cfvo type="percentile" val="50"/>
        <cfvo type="num" val="10"/>
        <color rgb="FF63BE7B"/>
        <color rgb="FFFCFCFF"/>
        <color rgb="FFF8696B"/>
      </colorScale>
    </cfRule>
    <cfRule type="colorScale" priority="8">
      <colorScale>
        <cfvo type="min"/>
        <cfvo type="max"/>
        <color rgb="FFFCFCFF"/>
        <color rgb="FFF8696B"/>
      </colorScale>
    </cfRule>
  </conditionalFormatting>
  <conditionalFormatting sqref="H960:H971">
    <cfRule type="colorScale" priority="5">
      <colorScale>
        <cfvo type="min"/>
        <cfvo type="percentile" val="50"/>
        <cfvo type="num" val="10"/>
        <color rgb="FF63BE7B"/>
        <color rgb="FFFCFCFF"/>
        <color rgb="FFF8696B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H825:H832">
    <cfRule type="colorScale" priority="3">
      <colorScale>
        <cfvo type="min"/>
        <cfvo type="percentile" val="50"/>
        <cfvo type="num" val="10"/>
        <color rgb="FF63BE7B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H1124:H1127">
    <cfRule type="colorScale" priority="1">
      <colorScale>
        <cfvo type="min"/>
        <cfvo type="percentile" val="50"/>
        <cfvo type="num" val="10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J1246:J1251 H1246:H1251 H1228:H1233 I1100:J1115 J1116 I808:J812 I820:I825 H580:H585 I1:J350 H523:H530 J542:J579 J586:J596 I367:J522 H531:I541 I597:J614 I619:J652 J653:J657 H653:H657 J615:J618 I658:J665 J676 I671:J675 J666:J670 H666:H670 I727:I728 I677:J723 J729:J731 I732:J763 I770:J782 I789:J794 J783:J788 I801:I807 I813:I818 J813:J825 I846:J846 J849:J853 I847:I853 J841:J845 I843:I845 I854:J858 I873:J939 I859:I872 I991:I1004 I1010:I1095 J941:J971 I940:I985 I826:J840 J1097:J1099 I1117:J1127 H1128:H1132 J1128:J1133 I1134:J1149 H1150:H1196 I1283:J1342 I1355:J1394 H1343:I1354 I1413:J1426 I1432:J1448 I1459:J1048576 J1449:J1458 H1449:H1454 J1427:J1431 I1427:I1430 J1407:J1412 H1395:I1406 H1277:I1282 J1150:J1197 I1198:J1221 J1222:J1233 I1234:J1245 I1252:J1276">
    <cfRule type="colorScale" priority="11">
      <colorScale>
        <cfvo type="min"/>
        <cfvo type="percentile" val="50"/>
        <cfvo type="num" val="10"/>
        <color rgb="FF63BE7B"/>
        <color rgb="FFFCFCFF"/>
        <color rgb="FFF8696B"/>
      </colorScale>
    </cfRule>
    <cfRule type="colorScale" priority="12">
      <colorScale>
        <cfvo type="min"/>
        <cfvo type="max"/>
        <color rgb="FFFCFCFF"/>
        <color rgb="FFF8696B"/>
      </colorScale>
    </cfRule>
  </conditionalFormatting>
  <conditionalFormatting sqref="H1097:H1099">
    <cfRule type="colorScale" priority="668">
      <colorScale>
        <cfvo type="min"/>
        <cfvo type="percentile" val="50"/>
        <cfvo type="num" val="10"/>
        <color rgb="FF63BE7B"/>
        <color rgb="FFFCFCFF"/>
        <color rgb="FFF8696B"/>
      </colorScale>
    </cfRule>
    <cfRule type="colorScale" priority="669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metadata_updated_filtered</vt:lpstr>
      <vt:lpstr>conjugation_updated_filtered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2025-06-12T07:52:22Z</dcterms:created>
  <dcterms:modified xsi:type="dcterms:W3CDTF">2026-01-11T18:23:09Z</dcterms:modified>
</cp:coreProperties>
</file>